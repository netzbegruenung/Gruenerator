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tarbeiter" sheetId="1" state="visible" r:id="rId3"/>
    <sheet name="Zeiterfassung" sheetId="2" state="visible" r:id="rId4"/>
    <sheet name="Aufgaben" sheetId="3" state="visible" r:id="rId5"/>
    <sheet name="Lösung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<sst xmlns="http://schemas.openxmlformats.org/spreadsheetml/2006/main" count="651" uniqueCount="183">
  <si>
    <t xml:space="preserve">PersNr</t>
  </si>
  <si>
    <t xml:space="preserve">Vorname</t>
  </si>
  <si>
    <t xml:space="preserve">Nachname</t>
  </si>
  <si>
    <t xml:space="preserve">Abteilung</t>
  </si>
  <si>
    <t xml:space="preserve">Standort</t>
  </si>
  <si>
    <t xml:space="preserve">Eintrittsdatum</t>
  </si>
  <si>
    <t xml:space="preserve">Geburtsdatum</t>
  </si>
  <si>
    <t xml:space="preserve">Gehalt_Jahr</t>
  </si>
  <si>
    <t xml:space="preserve">Wochenstunden</t>
  </si>
  <si>
    <t xml:space="preserve">Aktiv</t>
  </si>
  <si>
    <t xml:space="preserve">Email</t>
  </si>
  <si>
    <t xml:space="preserve">P101</t>
  </si>
  <si>
    <t xml:space="preserve">Tim</t>
  </si>
  <si>
    <t xml:space="preserve">Schmidt</t>
  </si>
  <si>
    <t xml:space="preserve">Personal</t>
  </si>
  <si>
    <t xml:space="preserve">München</t>
  </si>
  <si>
    <t xml:space="preserve">Nein</t>
  </si>
  <si>
    <t xml:space="preserve">tim.schmidt@firma.de</t>
  </si>
  <si>
    <t xml:space="preserve">P102</t>
  </si>
  <si>
    <t xml:space="preserve">Clara</t>
  </si>
  <si>
    <t xml:space="preserve">Richter</t>
  </si>
  <si>
    <t xml:space="preserve">Vertrieb</t>
  </si>
  <si>
    <t xml:space="preserve">Ja</t>
  </si>
  <si>
    <t xml:space="preserve">clara.richter@firma.de</t>
  </si>
  <si>
    <t xml:space="preserve">P103</t>
  </si>
  <si>
    <t xml:space="preserve">Ben</t>
  </si>
  <si>
    <t xml:space="preserve">Berlin</t>
  </si>
  <si>
    <t xml:space="preserve">ben.richter@firma.de</t>
  </si>
  <si>
    <t xml:space="preserve">P104</t>
  </si>
  <si>
    <t xml:space="preserve">Uwe</t>
  </si>
  <si>
    <t xml:space="preserve">Wolf</t>
  </si>
  <si>
    <t xml:space="preserve">uwe.wolf@firma.de</t>
  </si>
  <si>
    <t xml:space="preserve">P105</t>
  </si>
  <si>
    <t xml:space="preserve">Zimmermann</t>
  </si>
  <si>
    <t xml:space="preserve">IT</t>
  </si>
  <si>
    <t xml:space="preserve">uwe.zimmermann@firma.de</t>
  </si>
  <si>
    <t xml:space="preserve">P106</t>
  </si>
  <si>
    <t xml:space="preserve">Ola</t>
  </si>
  <si>
    <t xml:space="preserve">Becker</t>
  </si>
  <si>
    <t xml:space="preserve">Hamburg</t>
  </si>
  <si>
    <t xml:space="preserve">ola.becker@firma.de</t>
  </si>
  <si>
    <t xml:space="preserve">P107</t>
  </si>
  <si>
    <t xml:space="preserve">Klein</t>
  </si>
  <si>
    <t xml:space="preserve">Köln</t>
  </si>
  <si>
    <t xml:space="preserve">tim.klein@firma.de</t>
  </si>
  <si>
    <t xml:space="preserve">P108</t>
  </si>
  <si>
    <t xml:space="preserve">Meyer</t>
  </si>
  <si>
    <t xml:space="preserve">Finanzen</t>
  </si>
  <si>
    <t xml:space="preserve">clara.meyer@firma.de</t>
  </si>
  <si>
    <t xml:space="preserve">P109</t>
  </si>
  <si>
    <t xml:space="preserve">Felix</t>
  </si>
  <si>
    <t xml:space="preserve">Marketing</t>
  </si>
  <si>
    <t xml:space="preserve">felix.klein@firma.de</t>
  </si>
  <si>
    <t xml:space="preserve">P110</t>
  </si>
  <si>
    <t xml:space="preserve">Koch</t>
  </si>
  <si>
    <t xml:space="preserve">ola.koch@firma.de</t>
  </si>
  <si>
    <t xml:space="preserve">P111</t>
  </si>
  <si>
    <t xml:space="preserve">Weber</t>
  </si>
  <si>
    <t xml:space="preserve">clara.weber@firma.de</t>
  </si>
  <si>
    <t xml:space="preserve">P112</t>
  </si>
  <si>
    <t xml:space="preserve">Noah</t>
  </si>
  <si>
    <t xml:space="preserve">noah.richter@firma.de</t>
  </si>
  <si>
    <t xml:space="preserve">P113</t>
  </si>
  <si>
    <t xml:space="preserve">Mia</t>
  </si>
  <si>
    <t xml:space="preserve">mia.schmidt@firma.de</t>
  </si>
  <si>
    <t xml:space="preserve">P114</t>
  </si>
  <si>
    <t xml:space="preserve">ben.schmidt@firma.de</t>
  </si>
  <si>
    <t xml:space="preserve">P115</t>
  </si>
  <si>
    <t xml:space="preserve">Emma</t>
  </si>
  <si>
    <t xml:space="preserve">emma.wolf@firma.de</t>
  </si>
  <si>
    <t xml:space="preserve">P116</t>
  </si>
  <si>
    <t xml:space="preserve">P117</t>
  </si>
  <si>
    <t xml:space="preserve">Schröder</t>
  </si>
  <si>
    <t xml:space="preserve">emma.schröder@firma.de</t>
  </si>
  <si>
    <t xml:space="preserve">P118</t>
  </si>
  <si>
    <t xml:space="preserve">Neumann</t>
  </si>
  <si>
    <t xml:space="preserve">tim.neumann@firma.de</t>
  </si>
  <si>
    <t xml:space="preserve">P119</t>
  </si>
  <si>
    <t xml:space="preserve">Paul</t>
  </si>
  <si>
    <t xml:space="preserve">Hoffmann</t>
  </si>
  <si>
    <t xml:space="preserve">paul.hoffmann@firma.de</t>
  </si>
  <si>
    <t xml:space="preserve">P120</t>
  </si>
  <si>
    <t xml:space="preserve">Lars</t>
  </si>
  <si>
    <t xml:space="preserve">lars.hoffmann@firma.de</t>
  </si>
  <si>
    <t xml:space="preserve">P121</t>
  </si>
  <si>
    <t xml:space="preserve">lars.neumann@firma.de</t>
  </si>
  <si>
    <t xml:space="preserve">P122</t>
  </si>
  <si>
    <t xml:space="preserve">Bauer</t>
  </si>
  <si>
    <t xml:space="preserve">mia.bauer@firma.de</t>
  </si>
  <si>
    <t xml:space="preserve">P123</t>
  </si>
  <si>
    <t xml:space="preserve">Vera</t>
  </si>
  <si>
    <t xml:space="preserve">Schwarz</t>
  </si>
  <si>
    <t xml:space="preserve">vera.schwarz@firma.de</t>
  </si>
  <si>
    <t xml:space="preserve">P124</t>
  </si>
  <si>
    <t xml:space="preserve">emma.koch@firma.de</t>
  </si>
  <si>
    <t xml:space="preserve">P125</t>
  </si>
  <si>
    <t xml:space="preserve">noah.schwarz@firma.de</t>
  </si>
  <si>
    <t xml:space="preserve">Datum</t>
  </si>
  <si>
    <t xml:space="preserve">Projekt</t>
  </si>
  <si>
    <t xml:space="preserve">Stunden</t>
  </si>
  <si>
    <t xml:space="preserve">Stundensatz</t>
  </si>
  <si>
    <t xml:space="preserve">Abrechenbar</t>
  </si>
  <si>
    <t xml:space="preserve">Onboarding</t>
  </si>
  <si>
    <t xml:space="preserve">CRM-Migration</t>
  </si>
  <si>
    <t xml:space="preserve">Website-Relaunch</t>
  </si>
  <si>
    <t xml:space="preserve">Messe 2024</t>
  </si>
  <si>
    <t xml:space="preserve">Support</t>
  </si>
  <si>
    <t xml:space="preserve">Reporting-Tool</t>
  </si>
  <si>
    <t xml:space="preserve">#</t>
  </si>
  <si>
    <t xml:space="preserve">Aufgabe</t>
  </si>
  <si>
    <t xml:space="preserve">Excel-Fähigkeit die getestet wird</t>
  </si>
  <si>
    <t xml:space="preserve">Wie viele Mitarbeiter sind aktiv (Spalte Aktiv = 'Ja')?</t>
  </si>
  <si>
    <t xml:space="preserve">ZÄHLENWENN</t>
  </si>
  <si>
    <t xml:space="preserve">Durchschnittsgehalt der Abteilung 'IT'?</t>
  </si>
  <si>
    <t xml:space="preserve">MITTELWERTWENN / AVERAGEIF</t>
  </si>
  <si>
    <t xml:space="preserve">Gesamtgehaltskosten aller aktiven Mitarbeiter am Standort München?</t>
  </si>
  <si>
    <t xml:space="preserve">SUMMEWENNS (2 Kriterien)</t>
  </si>
  <si>
    <t xml:space="preserve">Wer ist der/die dienstälteste Mitarbeiter:in? (frühestes Eintrittsdatum)</t>
  </si>
  <si>
    <t xml:space="preserve">MIN Datum + INDEX/VERGLEICH</t>
  </si>
  <si>
    <t xml:space="preserve">Wie alt ist jede:r Mitarbeiter:in heute? (neue Spalte)</t>
  </si>
  <si>
    <t xml:space="preserve">DATEDIF / Datumsdifferenz</t>
  </si>
  <si>
    <t xml:space="preserve">Wie viele Dienstjahre hat jede:r? (heute − Eintrittsdatum)</t>
  </si>
  <si>
    <t xml:space="preserve">Datumsdifferenz in Jahren</t>
  </si>
  <si>
    <t xml:space="preserve">Berechne den Stundenlohn (Jahresgehalt / (Wochenstunden×52))</t>
  </si>
  <si>
    <t xml:space="preserve">Formel mit Division</t>
  </si>
  <si>
    <t xml:space="preserve">Erstelle einen Nachweis: Vollständiger Name = Vorname + ' ' + Nachname</t>
  </si>
  <si>
    <t xml:space="preserve">VERKETTEN / Textfunktion</t>
  </si>
  <si>
    <t xml:space="preserve">Extrahiere die Domain aus der Email (nach dem @)</t>
  </si>
  <si>
    <t xml:space="preserve">TEIL/FINDEN oder TEXTNACH</t>
  </si>
  <si>
    <t xml:space="preserve">Wie viele abrechenbare Stunden gesamt (Abrechenbar='Ja')?</t>
  </si>
  <si>
    <t xml:space="preserve">SUMMEWENN über anderes Blatt</t>
  </si>
  <si>
    <t xml:space="preserve">Umsatz je Projekt = Summe(Stunden × Stundensatz) nur wenn abrechenbar</t>
  </si>
  <si>
    <t xml:space="preserve">SUMMENPRODUKT bedingt</t>
  </si>
  <si>
    <t xml:space="preserve">Verknüpfe Zeiterfassung mit Mitarbeitername über PersNr</t>
  </si>
  <si>
    <t xml:space="preserve">SVERWEIS / XVERWEIS</t>
  </si>
  <si>
    <t xml:space="preserve">Welche Abteilung hat die höchste Gehaltssumme?</t>
  </si>
  <si>
    <t xml:space="preserve">Gruppierung + MAX</t>
  </si>
  <si>
    <t xml:space="preserve">Rang jedes Mitarbeiters nach Gehalt (1 = höchstes)</t>
  </si>
  <si>
    <t xml:space="preserve">RANG / RANK</t>
  </si>
  <si>
    <t xml:space="preserve">Median und 90.-Perzentil der Gehälter</t>
  </si>
  <si>
    <t xml:space="preserve">MEDIAN / QUANTIL</t>
  </si>
  <si>
    <t xml:space="preserve">Kategorisiere Gehalt: &lt;50k 'niedrig', 50-70k 'mittel', &gt;70k 'hoch'</t>
  </si>
  <si>
    <t xml:space="preserve">verschachteltes WENN</t>
  </si>
  <si>
    <t xml:space="preserve">Gibt es doppelte Email-Adressen?</t>
  </si>
  <si>
    <t xml:space="preserve">ZÄHLENWENN Duplikatprüfung</t>
  </si>
  <si>
    <t xml:space="preserve">Wie viele Projekteinträge fallen auf ein Wochenende?</t>
  </si>
  <si>
    <t xml:space="preserve">WOCHENTAG</t>
  </si>
  <si>
    <t xml:space="preserve">Monatliche Summe abrechenbarer Umsätze (Jan–Jun)</t>
  </si>
  <si>
    <t xml:space="preserve">MONAT + SUMMEWENNS</t>
  </si>
  <si>
    <t xml:space="preserve">Was wäre die Gehaltssumme bei 3% Erhöhung für alle Aktiven?</t>
  </si>
  <si>
    <t xml:space="preserve">Szenario-Rechnung</t>
  </si>
  <si>
    <t xml:space="preserve">Lösung (Formel)</t>
  </si>
  <si>
    <t xml:space="preserve">Ergebnis-Format</t>
  </si>
  <si>
    <t xml:space="preserve">Aktive Mitarbeiter</t>
  </si>
  <si>
    <t xml:space="preserve">0</t>
  </si>
  <si>
    <t xml:space="preserve">Ø Gehalt IT</t>
  </si>
  <si>
    <t xml:space="preserve">€</t>
  </si>
  <si>
    <t xml:space="preserve">Gehaltssumme aktiv &amp; München</t>
  </si>
  <si>
    <t xml:space="preserve">Dienstälteste:r (Name)</t>
  </si>
  <si>
    <t xml:space="preserve">Text</t>
  </si>
  <si>
    <t xml:space="preserve">  frühestes Eintrittsdatum</t>
  </si>
  <si>
    <t xml:space="preserve">Alter Beispiel Zeile 2 (Jahre)</t>
  </si>
  <si>
    <t xml:space="preserve">Dienstjahre Beispiel Zeile 2</t>
  </si>
  <si>
    <t xml:space="preserve">Stundenlohn Zeile 2</t>
  </si>
  <si>
    <t xml:space="preserve">Voller Name Zeile 2</t>
  </si>
  <si>
    <t xml:space="preserve">Email-Domain Zeile 2</t>
  </si>
  <si>
    <t xml:space="preserve">Abrechenbare Stunden gesamt</t>
  </si>
  <si>
    <t xml:space="preserve">0.0</t>
  </si>
  <si>
    <t xml:space="preserve">Umsatz Projekt 'Support' (abrechenbar)</t>
  </si>
  <si>
    <t xml:space="preserve">Name zu erster PersNr Zeiterfassung</t>
  </si>
  <si>
    <t xml:space="preserve">Höchste Gehaltssumme: Vertrieb</t>
  </si>
  <si>
    <t xml:space="preserve">  IT</t>
  </si>
  <si>
    <t xml:space="preserve">  Marketing</t>
  </si>
  <si>
    <t xml:space="preserve">  Finanzen</t>
  </si>
  <si>
    <t xml:space="preserve">  Personal</t>
  </si>
  <si>
    <t xml:space="preserve">Gehaltsrang Zeile 2</t>
  </si>
  <si>
    <t xml:space="preserve">Median Gehalt</t>
  </si>
  <si>
    <t xml:space="preserve">  90.-Perzentil</t>
  </si>
  <si>
    <t xml:space="preserve">Gehaltskategorie Zeile 2</t>
  </si>
  <si>
    <t xml:space="preserve">Anzahl doppelter Emails</t>
  </si>
  <si>
    <t xml:space="preserve">Projekteinträge am Wochenende</t>
  </si>
  <si>
    <t xml:space="preserve">Abrechenbarer Umsatz Januar</t>
  </si>
  <si>
    <t xml:space="preserve">Gehaltssumme aktiv +3%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</si>
</sst>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#,##0&quot; €&quot;"/>
    <numFmt numFmtId="167" formatCode="#,##0"/>
    <numFmt numFmtId="168" formatCode="#,##0.00&quot; €&quot;"/>
    <numFmt numFmtId="169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A88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2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2" t="n">
        <v>43903</v>
      </c>
      <c r="G2" s="2" t="n">
        <v>25991</v>
      </c>
      <c r="H2" s="3" t="n">
        <v>72000</v>
      </c>
      <c r="I2" s="0" t="n">
        <v>40</v>
      </c>
      <c r="J2" s="4" t="s">
        <v>16</v>
      </c>
      <c r="K2" s="4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0" t="s">
        <v>15</v>
      </c>
      <c r="F3" s="2" t="n">
        <v>42049</v>
      </c>
      <c r="G3" s="2" t="n">
        <v>34373</v>
      </c>
      <c r="H3" s="3" t="n">
        <v>85000</v>
      </c>
      <c r="I3" s="0" t="n">
        <v>20</v>
      </c>
      <c r="J3" s="4" t="s">
        <v>22</v>
      </c>
      <c r="K3" s="4" t="s">
        <v>23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20</v>
      </c>
      <c r="D4" s="0" t="s">
        <v>14</v>
      </c>
      <c r="E4" s="0" t="s">
        <v>26</v>
      </c>
      <c r="F4" s="2" t="n">
        <v>45310</v>
      </c>
      <c r="G4" s="2" t="n">
        <v>33977</v>
      </c>
      <c r="H4" s="3" t="n">
        <v>55000</v>
      </c>
      <c r="I4" s="0" t="n">
        <v>30</v>
      </c>
      <c r="J4" s="4" t="s">
        <v>22</v>
      </c>
      <c r="K4" s="4" t="s">
        <v>27</v>
      </c>
    </row>
    <row r="5" customFormat="false" ht="15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21</v>
      </c>
      <c r="E5" s="0" t="s">
        <v>26</v>
      </c>
      <c r="F5" s="2" t="n">
        <v>45430</v>
      </c>
      <c r="G5" s="2" t="n">
        <v>28905</v>
      </c>
      <c r="H5" s="3" t="n">
        <v>61000</v>
      </c>
      <c r="I5" s="0" t="n">
        <v>30</v>
      </c>
      <c r="J5" s="4" t="s">
        <v>16</v>
      </c>
      <c r="K5" s="4" t="s">
        <v>31</v>
      </c>
    </row>
    <row r="6" customFormat="false" ht="15" hidden="false" customHeight="false" outlineLevel="0" collapsed="false">
      <c r="A6" s="0" t="s">
        <v>32</v>
      </c>
      <c r="B6" s="0" t="s">
        <v>29</v>
      </c>
      <c r="C6" s="0" t="s">
        <v>33</v>
      </c>
      <c r="D6" s="0" t="s">
        <v>34</v>
      </c>
      <c r="E6" s="0" t="s">
        <v>15</v>
      </c>
      <c r="F6" s="2" t="n">
        <v>45398</v>
      </c>
      <c r="G6" s="2" t="n">
        <v>34865</v>
      </c>
      <c r="H6" s="3" t="n">
        <v>94000</v>
      </c>
      <c r="I6" s="0" t="n">
        <v>30</v>
      </c>
      <c r="J6" s="4" t="s">
        <v>22</v>
      </c>
      <c r="K6" s="4" t="s">
        <v>35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34</v>
      </c>
      <c r="E7" s="0" t="s">
        <v>39</v>
      </c>
      <c r="F7" s="2" t="n">
        <v>42653</v>
      </c>
      <c r="G7" s="2" t="n">
        <v>36335</v>
      </c>
      <c r="H7" s="3" t="n">
        <v>48000</v>
      </c>
      <c r="I7" s="0" t="n">
        <v>20</v>
      </c>
      <c r="J7" s="4" t="s">
        <v>22</v>
      </c>
      <c r="K7" s="4" t="s">
        <v>40</v>
      </c>
    </row>
    <row r="8" customFormat="false" ht="15" hidden="false" customHeight="false" outlineLevel="0" collapsed="false">
      <c r="A8" s="0" t="s">
        <v>41</v>
      </c>
      <c r="B8" s="0" t="s">
        <v>12</v>
      </c>
      <c r="C8" s="0" t="s">
        <v>42</v>
      </c>
      <c r="D8" s="0" t="s">
        <v>14</v>
      </c>
      <c r="E8" s="0" t="s">
        <v>43</v>
      </c>
      <c r="F8" s="2" t="n">
        <v>42961</v>
      </c>
      <c r="G8" s="2" t="n">
        <v>25875</v>
      </c>
      <c r="H8" s="3" t="n">
        <v>72000</v>
      </c>
      <c r="I8" s="0" t="n">
        <v>30</v>
      </c>
      <c r="J8" s="4" t="s">
        <v>22</v>
      </c>
      <c r="K8" s="4" t="s">
        <v>44</v>
      </c>
    </row>
    <row r="9" customFormat="false" ht="15" hidden="false" customHeight="false" outlineLevel="0" collapsed="false">
      <c r="A9" s="0" t="s">
        <v>45</v>
      </c>
      <c r="B9" s="0" t="s">
        <v>19</v>
      </c>
      <c r="C9" s="0" t="s">
        <v>46</v>
      </c>
      <c r="D9" s="0" t="s">
        <v>47</v>
      </c>
      <c r="E9" s="0" t="s">
        <v>39</v>
      </c>
      <c r="F9" s="2" t="n">
        <v>45507</v>
      </c>
      <c r="G9" s="2" t="n">
        <v>26800</v>
      </c>
      <c r="H9" s="3" t="n">
        <v>67000</v>
      </c>
      <c r="I9" s="0" t="n">
        <v>40</v>
      </c>
      <c r="J9" s="4" t="s">
        <v>22</v>
      </c>
      <c r="K9" s="4" t="s">
        <v>48</v>
      </c>
    </row>
    <row r="10" customFormat="false" ht="15" hidden="false" customHeight="false" outlineLevel="0" collapsed="false">
      <c r="A10" s="0" t="s">
        <v>49</v>
      </c>
      <c r="B10" s="0" t="s">
        <v>50</v>
      </c>
      <c r="C10" s="0" t="s">
        <v>42</v>
      </c>
      <c r="D10" s="0" t="s">
        <v>51</v>
      </c>
      <c r="E10" s="0" t="s">
        <v>15</v>
      </c>
      <c r="F10" s="2" t="n">
        <v>44512</v>
      </c>
      <c r="G10" s="2" t="n">
        <v>25427</v>
      </c>
      <c r="H10" s="3" t="n">
        <v>48000</v>
      </c>
      <c r="I10" s="0" t="n">
        <v>40</v>
      </c>
      <c r="J10" s="4" t="s">
        <v>16</v>
      </c>
      <c r="K10" s="4" t="s">
        <v>52</v>
      </c>
    </row>
    <row r="11" customFormat="false" ht="15" hidden="false" customHeight="false" outlineLevel="0" collapsed="false">
      <c r="A11" s="0" t="s">
        <v>53</v>
      </c>
      <c r="B11" s="0" t="s">
        <v>37</v>
      </c>
      <c r="C11" s="0" t="s">
        <v>54</v>
      </c>
      <c r="D11" s="0" t="s">
        <v>14</v>
      </c>
      <c r="E11" s="0" t="s">
        <v>39</v>
      </c>
      <c r="F11" s="2" t="n">
        <v>43294</v>
      </c>
      <c r="G11" s="2" t="n">
        <v>36197</v>
      </c>
      <c r="H11" s="3" t="n">
        <v>67000</v>
      </c>
      <c r="I11" s="0" t="n">
        <v>25</v>
      </c>
      <c r="J11" s="4" t="s">
        <v>22</v>
      </c>
      <c r="K11" s="4" t="s">
        <v>55</v>
      </c>
    </row>
    <row r="12" customFormat="false" ht="15" hidden="false" customHeight="false" outlineLevel="0" collapsed="false">
      <c r="A12" s="0" t="s">
        <v>56</v>
      </c>
      <c r="B12" s="0" t="s">
        <v>19</v>
      </c>
      <c r="C12" s="0" t="s">
        <v>57</v>
      </c>
      <c r="D12" s="0" t="s">
        <v>21</v>
      </c>
      <c r="E12" s="0" t="s">
        <v>43</v>
      </c>
      <c r="F12" s="2" t="n">
        <v>44369</v>
      </c>
      <c r="G12" s="2" t="n">
        <v>33699</v>
      </c>
      <c r="H12" s="3" t="n">
        <v>55000</v>
      </c>
      <c r="I12" s="0" t="n">
        <v>25</v>
      </c>
      <c r="J12" s="4" t="s">
        <v>22</v>
      </c>
      <c r="K12" s="4" t="s">
        <v>58</v>
      </c>
    </row>
    <row r="13" customFormat="false" ht="15" hidden="false" customHeight="false" outlineLevel="0" collapsed="false">
      <c r="A13" s="0" t="s">
        <v>59</v>
      </c>
      <c r="B13" s="0" t="s">
        <v>60</v>
      </c>
      <c r="C13" s="0" t="s">
        <v>20</v>
      </c>
      <c r="D13" s="0" t="s">
        <v>34</v>
      </c>
      <c r="E13" s="0" t="s">
        <v>26</v>
      </c>
      <c r="F13" s="2" t="n">
        <v>45360</v>
      </c>
      <c r="G13" s="2" t="n">
        <v>31417</v>
      </c>
      <c r="H13" s="3" t="n">
        <v>72000</v>
      </c>
      <c r="I13" s="0" t="n">
        <v>40</v>
      </c>
      <c r="J13" s="4" t="s">
        <v>22</v>
      </c>
      <c r="K13" s="4" t="s">
        <v>61</v>
      </c>
    </row>
    <row r="14" customFormat="false" ht="15" hidden="false" customHeight="false" outlineLevel="0" collapsed="false">
      <c r="A14" s="0" t="s">
        <v>62</v>
      </c>
      <c r="B14" s="0" t="s">
        <v>63</v>
      </c>
      <c r="C14" s="0" t="s">
        <v>13</v>
      </c>
      <c r="D14" s="0" t="s">
        <v>34</v>
      </c>
      <c r="E14" s="0" t="s">
        <v>26</v>
      </c>
      <c r="F14" s="2" t="n">
        <v>44891</v>
      </c>
      <c r="G14" s="2" t="n">
        <v>34163</v>
      </c>
      <c r="H14" s="3" t="n">
        <v>94000</v>
      </c>
      <c r="I14" s="0" t="n">
        <v>40</v>
      </c>
      <c r="J14" s="4" t="s">
        <v>22</v>
      </c>
      <c r="K14" s="4" t="s">
        <v>64</v>
      </c>
    </row>
    <row r="15" customFormat="false" ht="15" hidden="false" customHeight="false" outlineLevel="0" collapsed="false">
      <c r="A15" s="0" t="s">
        <v>65</v>
      </c>
      <c r="B15" s="0" t="s">
        <v>25</v>
      </c>
      <c r="C15" s="0" t="s">
        <v>13</v>
      </c>
      <c r="D15" s="0" t="s">
        <v>21</v>
      </c>
      <c r="E15" s="0" t="s">
        <v>39</v>
      </c>
      <c r="F15" s="2" t="n">
        <v>43318</v>
      </c>
      <c r="G15" s="2" t="n">
        <v>27565</v>
      </c>
      <c r="H15" s="3" t="n">
        <v>42000</v>
      </c>
      <c r="I15" s="0" t="n">
        <v>40</v>
      </c>
      <c r="J15" s="4" t="s">
        <v>22</v>
      </c>
      <c r="K15" s="4" t="s">
        <v>66</v>
      </c>
    </row>
    <row r="16" customFormat="false" ht="15" hidden="false" customHeight="false" outlineLevel="0" collapsed="false">
      <c r="A16" s="0" t="s">
        <v>67</v>
      </c>
      <c r="B16" s="0" t="s">
        <v>68</v>
      </c>
      <c r="C16" s="0" t="s">
        <v>30</v>
      </c>
      <c r="D16" s="0" t="s">
        <v>47</v>
      </c>
      <c r="E16" s="0" t="s">
        <v>26</v>
      </c>
      <c r="F16" s="2" t="n">
        <v>45294</v>
      </c>
      <c r="G16" s="2" t="n">
        <v>29872</v>
      </c>
      <c r="H16" s="3" t="n">
        <v>67000</v>
      </c>
      <c r="I16" s="0" t="n">
        <v>30</v>
      </c>
      <c r="J16" s="4" t="s">
        <v>22</v>
      </c>
      <c r="K16" s="4" t="s">
        <v>69</v>
      </c>
    </row>
    <row r="17" customFormat="false" ht="15" hidden="false" customHeight="false" outlineLevel="0" collapsed="false">
      <c r="A17" s="0" t="s">
        <v>70</v>
      </c>
      <c r="B17" s="0" t="s">
        <v>19</v>
      </c>
      <c r="C17" s="0" t="s">
        <v>57</v>
      </c>
      <c r="D17" s="0" t="s">
        <v>51</v>
      </c>
      <c r="E17" s="0" t="s">
        <v>43</v>
      </c>
      <c r="F17" s="2" t="n">
        <v>42597</v>
      </c>
      <c r="G17" s="2" t="n">
        <v>36017</v>
      </c>
      <c r="H17" s="3" t="n">
        <v>48000</v>
      </c>
      <c r="I17" s="0" t="n">
        <v>40</v>
      </c>
      <c r="J17" s="4" t="s">
        <v>22</v>
      </c>
      <c r="K17" s="4" t="s">
        <v>58</v>
      </c>
    </row>
    <row r="18" customFormat="false" ht="15" hidden="false" customHeight="false" outlineLevel="0" collapsed="false">
      <c r="A18" s="0" t="s">
        <v>71</v>
      </c>
      <c r="B18" s="0" t="s">
        <v>68</v>
      </c>
      <c r="C18" s="0" t="s">
        <v>72</v>
      </c>
      <c r="D18" s="0" t="s">
        <v>21</v>
      </c>
      <c r="E18" s="0" t="s">
        <v>39</v>
      </c>
      <c r="F18" s="2" t="n">
        <v>42979</v>
      </c>
      <c r="G18" s="2" t="n">
        <v>29841</v>
      </c>
      <c r="H18" s="3" t="n">
        <v>42000</v>
      </c>
      <c r="I18" s="0" t="n">
        <v>40</v>
      </c>
      <c r="J18" s="4" t="s">
        <v>22</v>
      </c>
      <c r="K18" s="4" t="s">
        <v>73</v>
      </c>
    </row>
    <row r="19" customFormat="false" ht="15" hidden="false" customHeight="false" outlineLevel="0" collapsed="false">
      <c r="A19" s="0" t="s">
        <v>74</v>
      </c>
      <c r="B19" s="0" t="s">
        <v>12</v>
      </c>
      <c r="C19" s="0" t="s">
        <v>75</v>
      </c>
      <c r="D19" s="0" t="s">
        <v>34</v>
      </c>
      <c r="E19" s="0" t="s">
        <v>15</v>
      </c>
      <c r="F19" s="2" t="n">
        <v>45083</v>
      </c>
      <c r="G19" s="2" t="n">
        <v>32981</v>
      </c>
      <c r="H19" s="3" t="n">
        <v>72000</v>
      </c>
      <c r="I19" s="0" t="n">
        <v>40</v>
      </c>
      <c r="J19" s="4" t="s">
        <v>22</v>
      </c>
      <c r="K19" s="4" t="s">
        <v>76</v>
      </c>
    </row>
    <row r="20" customFormat="false" ht="15" hidden="false" customHeight="false" outlineLevel="0" collapsed="false">
      <c r="A20" s="0" t="s">
        <v>77</v>
      </c>
      <c r="B20" s="0" t="s">
        <v>78</v>
      </c>
      <c r="C20" s="0" t="s">
        <v>79</v>
      </c>
      <c r="D20" s="0" t="s">
        <v>47</v>
      </c>
      <c r="E20" s="0" t="s">
        <v>39</v>
      </c>
      <c r="F20" s="2" t="n">
        <v>44556</v>
      </c>
      <c r="G20" s="2" t="n">
        <v>30058</v>
      </c>
      <c r="H20" s="3" t="n">
        <v>42000</v>
      </c>
      <c r="I20" s="0" t="n">
        <v>20</v>
      </c>
      <c r="J20" s="4" t="s">
        <v>22</v>
      </c>
      <c r="K20" s="4" t="s">
        <v>80</v>
      </c>
    </row>
    <row r="21" customFormat="false" ht="15" hidden="false" customHeight="false" outlineLevel="0" collapsed="false">
      <c r="A21" s="0" t="s">
        <v>81</v>
      </c>
      <c r="B21" s="0" t="s">
        <v>82</v>
      </c>
      <c r="C21" s="0" t="s">
        <v>79</v>
      </c>
      <c r="D21" s="0" t="s">
        <v>47</v>
      </c>
      <c r="E21" s="0" t="s">
        <v>15</v>
      </c>
      <c r="F21" s="2" t="n">
        <v>43454</v>
      </c>
      <c r="G21" s="2" t="n">
        <v>33111</v>
      </c>
      <c r="H21" s="3" t="n">
        <v>48000</v>
      </c>
      <c r="I21" s="0" t="n">
        <v>25</v>
      </c>
      <c r="J21" s="4" t="s">
        <v>16</v>
      </c>
      <c r="K21" s="4" t="s">
        <v>83</v>
      </c>
    </row>
    <row r="22" customFormat="false" ht="15" hidden="false" customHeight="false" outlineLevel="0" collapsed="false">
      <c r="A22" s="0" t="s">
        <v>84</v>
      </c>
      <c r="B22" s="0" t="s">
        <v>82</v>
      </c>
      <c r="C22" s="0" t="s">
        <v>75</v>
      </c>
      <c r="D22" s="0" t="s">
        <v>47</v>
      </c>
      <c r="E22" s="0" t="s">
        <v>15</v>
      </c>
      <c r="F22" s="2" t="n">
        <v>43937</v>
      </c>
      <c r="G22" s="2" t="n">
        <v>25071</v>
      </c>
      <c r="H22" s="3" t="n">
        <v>48000</v>
      </c>
      <c r="I22" s="0" t="n">
        <v>40</v>
      </c>
      <c r="J22" s="4" t="s">
        <v>16</v>
      </c>
      <c r="K22" s="4" t="s">
        <v>85</v>
      </c>
    </row>
    <row r="23" customFormat="false" ht="15" hidden="false" customHeight="false" outlineLevel="0" collapsed="false">
      <c r="A23" s="0" t="s">
        <v>86</v>
      </c>
      <c r="B23" s="0" t="s">
        <v>63</v>
      </c>
      <c r="C23" s="0" t="s">
        <v>87</v>
      </c>
      <c r="D23" s="0" t="s">
        <v>34</v>
      </c>
      <c r="E23" s="0" t="s">
        <v>15</v>
      </c>
      <c r="F23" s="2" t="n">
        <v>44634</v>
      </c>
      <c r="G23" s="2" t="n">
        <v>32565</v>
      </c>
      <c r="H23" s="3" t="n">
        <v>85000</v>
      </c>
      <c r="I23" s="0" t="n">
        <v>40</v>
      </c>
      <c r="J23" s="4" t="s">
        <v>22</v>
      </c>
      <c r="K23" s="4" t="s">
        <v>88</v>
      </c>
    </row>
    <row r="24" customFormat="false" ht="15" hidden="false" customHeight="false" outlineLevel="0" collapsed="false">
      <c r="A24" s="0" t="s">
        <v>89</v>
      </c>
      <c r="B24" s="0" t="s">
        <v>90</v>
      </c>
      <c r="C24" s="0" t="s">
        <v>91</v>
      </c>
      <c r="D24" s="0" t="s">
        <v>34</v>
      </c>
      <c r="E24" s="0" t="s">
        <v>15</v>
      </c>
      <c r="F24" s="2" t="n">
        <v>42740</v>
      </c>
      <c r="G24" s="2" t="n">
        <v>35739</v>
      </c>
      <c r="H24" s="3" t="n">
        <v>94000</v>
      </c>
      <c r="I24" s="0" t="n">
        <v>40</v>
      </c>
      <c r="J24" s="4" t="s">
        <v>22</v>
      </c>
      <c r="K24" s="4" t="s">
        <v>92</v>
      </c>
    </row>
    <row r="25" customFormat="false" ht="15" hidden="false" customHeight="false" outlineLevel="0" collapsed="false">
      <c r="A25" s="0" t="s">
        <v>93</v>
      </c>
      <c r="B25" s="0" t="s">
        <v>68</v>
      </c>
      <c r="C25" s="0" t="s">
        <v>54</v>
      </c>
      <c r="D25" s="0" t="s">
        <v>34</v>
      </c>
      <c r="E25" s="0" t="s">
        <v>39</v>
      </c>
      <c r="F25" s="2" t="n">
        <v>42030</v>
      </c>
      <c r="G25" s="2" t="n">
        <v>27296</v>
      </c>
      <c r="H25" s="3" t="n">
        <v>61000</v>
      </c>
      <c r="I25" s="0" t="n">
        <v>25</v>
      </c>
      <c r="J25" s="4" t="s">
        <v>16</v>
      </c>
      <c r="K25" s="4" t="s">
        <v>94</v>
      </c>
    </row>
    <row r="26" customFormat="false" ht="15" hidden="false" customHeight="false" outlineLevel="0" collapsed="false">
      <c r="A26" s="0" t="s">
        <v>95</v>
      </c>
      <c r="B26" s="0" t="s">
        <v>60</v>
      </c>
      <c r="C26" s="0" t="s">
        <v>91</v>
      </c>
      <c r="D26" s="0" t="s">
        <v>51</v>
      </c>
      <c r="E26" s="0" t="s">
        <v>43</v>
      </c>
      <c r="F26" s="2" t="n">
        <v>45041</v>
      </c>
      <c r="G26" s="2" t="n">
        <v>32281</v>
      </c>
      <c r="H26" s="3" t="n">
        <v>55000</v>
      </c>
      <c r="I26" s="0" t="n">
        <v>20</v>
      </c>
      <c r="J26" s="4" t="s">
        <v>22</v>
      </c>
      <c r="K26" s="4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6" min="5" style="0" width="12"/>
  </cols>
  <sheetData>
    <row r="1" customFormat="false" ht="26.85" hidden="false" customHeight="false" outlineLevel="0" collapsed="false">
      <c r="A1" s="1" t="s">
        <v>97</v>
      </c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</row>
    <row r="2" customFormat="false" ht="15" hidden="false" customHeight="false" outlineLevel="0" collapsed="false">
      <c r="A2" s="2" t="n">
        <v>45461</v>
      </c>
      <c r="B2" s="4" t="s">
        <v>77</v>
      </c>
      <c r="C2" s="4" t="s">
        <v>102</v>
      </c>
      <c r="D2" s="0" t="n">
        <v>3.7</v>
      </c>
      <c r="E2" s="3" t="n">
        <v>120</v>
      </c>
      <c r="F2" s="4" t="s">
        <v>16</v>
      </c>
    </row>
    <row r="3" customFormat="false" ht="15" hidden="false" customHeight="false" outlineLevel="0" collapsed="false">
      <c r="A3" s="2" t="n">
        <v>45330</v>
      </c>
      <c r="B3" s="4" t="s">
        <v>71</v>
      </c>
      <c r="C3" s="4" t="s">
        <v>102</v>
      </c>
      <c r="D3" s="0" t="n">
        <v>0.6</v>
      </c>
      <c r="E3" s="3" t="n">
        <v>110</v>
      </c>
      <c r="F3" s="4" t="s">
        <v>22</v>
      </c>
    </row>
    <row r="4" customFormat="false" ht="15" hidden="false" customHeight="false" outlineLevel="0" collapsed="false">
      <c r="A4" s="2" t="n">
        <v>45447</v>
      </c>
      <c r="B4" s="4" t="s">
        <v>11</v>
      </c>
      <c r="C4" s="4" t="s">
        <v>103</v>
      </c>
      <c r="D4" s="0" t="n">
        <v>1.8</v>
      </c>
      <c r="E4" s="3" t="n">
        <v>110</v>
      </c>
      <c r="F4" s="4" t="s">
        <v>22</v>
      </c>
    </row>
    <row r="5" customFormat="false" ht="15" hidden="false" customHeight="false" outlineLevel="0" collapsed="false">
      <c r="A5" s="2" t="n">
        <v>45322</v>
      </c>
      <c r="B5" s="4" t="s">
        <v>74</v>
      </c>
      <c r="C5" s="4" t="s">
        <v>104</v>
      </c>
      <c r="D5" s="0" t="n">
        <v>2.9</v>
      </c>
      <c r="E5" s="3" t="n">
        <v>120</v>
      </c>
      <c r="F5" s="4" t="s">
        <v>22</v>
      </c>
    </row>
    <row r="6" customFormat="false" ht="15" hidden="false" customHeight="false" outlineLevel="0" collapsed="false">
      <c r="A6" s="2" t="n">
        <v>45415</v>
      </c>
      <c r="B6" s="4" t="s">
        <v>95</v>
      </c>
      <c r="C6" s="4" t="s">
        <v>104</v>
      </c>
      <c r="D6" s="0" t="n">
        <v>7.1</v>
      </c>
      <c r="E6" s="3" t="n">
        <v>75</v>
      </c>
      <c r="F6" s="4" t="s">
        <v>16</v>
      </c>
    </row>
    <row r="7" customFormat="false" ht="15" hidden="false" customHeight="false" outlineLevel="0" collapsed="false">
      <c r="A7" s="2" t="n">
        <v>45362</v>
      </c>
      <c r="B7" s="4" t="s">
        <v>18</v>
      </c>
      <c r="C7" s="4" t="s">
        <v>104</v>
      </c>
      <c r="D7" s="0" t="n">
        <v>4.3</v>
      </c>
      <c r="E7" s="3" t="n">
        <v>120</v>
      </c>
      <c r="F7" s="4" t="s">
        <v>16</v>
      </c>
    </row>
    <row r="8" customFormat="false" ht="15" hidden="false" customHeight="false" outlineLevel="0" collapsed="false">
      <c r="A8" s="2" t="n">
        <v>45308</v>
      </c>
      <c r="B8" s="4" t="s">
        <v>67</v>
      </c>
      <c r="C8" s="4" t="s">
        <v>105</v>
      </c>
      <c r="D8" s="0" t="n">
        <v>5.1</v>
      </c>
      <c r="E8" s="3" t="n">
        <v>120</v>
      </c>
      <c r="F8" s="4" t="s">
        <v>22</v>
      </c>
    </row>
    <row r="9" customFormat="false" ht="15" hidden="false" customHeight="false" outlineLevel="0" collapsed="false">
      <c r="A9" s="2" t="n">
        <v>45343</v>
      </c>
      <c r="B9" s="4" t="s">
        <v>89</v>
      </c>
      <c r="C9" s="4" t="s">
        <v>105</v>
      </c>
      <c r="D9" s="0" t="n">
        <v>3.9</v>
      </c>
      <c r="E9" s="3" t="n">
        <v>120</v>
      </c>
      <c r="F9" s="4" t="s">
        <v>22</v>
      </c>
    </row>
    <row r="10" customFormat="false" ht="15" hidden="false" customHeight="false" outlineLevel="0" collapsed="false">
      <c r="A10" s="2" t="n">
        <v>45421</v>
      </c>
      <c r="B10" s="4" t="s">
        <v>45</v>
      </c>
      <c r="C10" s="4" t="s">
        <v>106</v>
      </c>
      <c r="D10" s="0" t="n">
        <v>4.4</v>
      </c>
      <c r="E10" s="3" t="n">
        <v>95</v>
      </c>
      <c r="F10" s="4" t="s">
        <v>22</v>
      </c>
    </row>
    <row r="11" customFormat="false" ht="15" hidden="false" customHeight="false" outlineLevel="0" collapsed="false">
      <c r="A11" s="2" t="n">
        <v>45343</v>
      </c>
      <c r="B11" s="4" t="s">
        <v>67</v>
      </c>
      <c r="C11" s="4" t="s">
        <v>103</v>
      </c>
      <c r="D11" s="0" t="n">
        <v>3.6</v>
      </c>
      <c r="E11" s="3" t="n">
        <v>110</v>
      </c>
      <c r="F11" s="4" t="s">
        <v>22</v>
      </c>
    </row>
    <row r="12" customFormat="false" ht="15" hidden="false" customHeight="false" outlineLevel="0" collapsed="false">
      <c r="A12" s="2" t="n">
        <v>45310</v>
      </c>
      <c r="B12" s="4" t="s">
        <v>86</v>
      </c>
      <c r="C12" s="4" t="s">
        <v>103</v>
      </c>
      <c r="D12" s="0" t="n">
        <v>3.7</v>
      </c>
      <c r="E12" s="3" t="n">
        <v>85</v>
      </c>
      <c r="F12" s="4" t="s">
        <v>22</v>
      </c>
    </row>
    <row r="13" customFormat="false" ht="15" hidden="false" customHeight="false" outlineLevel="0" collapsed="false">
      <c r="A13" s="2" t="n">
        <v>45323</v>
      </c>
      <c r="B13" s="4" t="s">
        <v>95</v>
      </c>
      <c r="C13" s="4" t="s">
        <v>103</v>
      </c>
      <c r="D13" s="0" t="n">
        <v>7.5</v>
      </c>
      <c r="E13" s="3" t="n">
        <v>95</v>
      </c>
      <c r="F13" s="4" t="s">
        <v>16</v>
      </c>
    </row>
    <row r="14" customFormat="false" ht="15" hidden="false" customHeight="false" outlineLevel="0" collapsed="false">
      <c r="A14" s="2" t="n">
        <v>45327</v>
      </c>
      <c r="B14" s="4" t="s">
        <v>67</v>
      </c>
      <c r="C14" s="4" t="s">
        <v>103</v>
      </c>
      <c r="D14" s="0" t="n">
        <v>6.1</v>
      </c>
      <c r="E14" s="3" t="n">
        <v>75</v>
      </c>
      <c r="F14" s="4" t="s">
        <v>22</v>
      </c>
    </row>
    <row r="15" customFormat="false" ht="15" hidden="false" customHeight="false" outlineLevel="0" collapsed="false">
      <c r="A15" s="2" t="n">
        <v>45416</v>
      </c>
      <c r="B15" s="4" t="s">
        <v>36</v>
      </c>
      <c r="C15" s="4" t="s">
        <v>106</v>
      </c>
      <c r="D15" s="0" t="n">
        <v>6.7</v>
      </c>
      <c r="E15" s="3" t="n">
        <v>85</v>
      </c>
      <c r="F15" s="4" t="s">
        <v>22</v>
      </c>
    </row>
    <row r="16" customFormat="false" ht="15" hidden="false" customHeight="false" outlineLevel="0" collapsed="false">
      <c r="A16" s="2" t="n">
        <v>45423</v>
      </c>
      <c r="B16" s="4" t="s">
        <v>62</v>
      </c>
      <c r="C16" s="4" t="s">
        <v>105</v>
      </c>
      <c r="D16" s="0" t="n">
        <v>3.7</v>
      </c>
      <c r="E16" s="3" t="n">
        <v>95</v>
      </c>
      <c r="F16" s="4" t="s">
        <v>22</v>
      </c>
    </row>
    <row r="17" customFormat="false" ht="15" hidden="false" customHeight="false" outlineLevel="0" collapsed="false">
      <c r="A17" s="2" t="n">
        <v>45385</v>
      </c>
      <c r="B17" s="4" t="s">
        <v>11</v>
      </c>
      <c r="C17" s="4" t="s">
        <v>105</v>
      </c>
      <c r="D17" s="0" t="n">
        <v>4.7</v>
      </c>
      <c r="E17" s="3" t="n">
        <v>110</v>
      </c>
      <c r="F17" s="4" t="s">
        <v>22</v>
      </c>
    </row>
    <row r="18" customFormat="false" ht="15" hidden="false" customHeight="false" outlineLevel="0" collapsed="false">
      <c r="A18" s="2" t="n">
        <v>45390</v>
      </c>
      <c r="B18" s="4" t="s">
        <v>56</v>
      </c>
      <c r="C18" s="4" t="s">
        <v>102</v>
      </c>
      <c r="D18" s="0" t="n">
        <v>5.2</v>
      </c>
      <c r="E18" s="3" t="n">
        <v>120</v>
      </c>
      <c r="F18" s="4" t="s">
        <v>22</v>
      </c>
    </row>
    <row r="19" customFormat="false" ht="15" hidden="false" customHeight="false" outlineLevel="0" collapsed="false">
      <c r="A19" s="2" t="n">
        <v>45320</v>
      </c>
      <c r="B19" s="4" t="s">
        <v>45</v>
      </c>
      <c r="C19" s="4" t="s">
        <v>104</v>
      </c>
      <c r="D19" s="0" t="n">
        <v>1.1</v>
      </c>
      <c r="E19" s="3" t="n">
        <v>95</v>
      </c>
      <c r="F19" s="4" t="s">
        <v>16</v>
      </c>
    </row>
    <row r="20" customFormat="false" ht="15" hidden="false" customHeight="false" outlineLevel="0" collapsed="false">
      <c r="A20" s="2" t="n">
        <v>45338</v>
      </c>
      <c r="B20" s="4" t="s">
        <v>49</v>
      </c>
      <c r="C20" s="4" t="s">
        <v>103</v>
      </c>
      <c r="D20" s="0" t="n">
        <v>6.6</v>
      </c>
      <c r="E20" s="3" t="n">
        <v>95</v>
      </c>
      <c r="F20" s="4" t="s">
        <v>22</v>
      </c>
    </row>
    <row r="21" customFormat="false" ht="15" hidden="false" customHeight="false" outlineLevel="0" collapsed="false">
      <c r="A21" s="2" t="n">
        <v>45429</v>
      </c>
      <c r="B21" s="4" t="s">
        <v>71</v>
      </c>
      <c r="C21" s="4" t="s">
        <v>102</v>
      </c>
      <c r="D21" s="0" t="n">
        <v>4.2</v>
      </c>
      <c r="E21" s="3" t="n">
        <v>95</v>
      </c>
      <c r="F21" s="4" t="s">
        <v>16</v>
      </c>
    </row>
    <row r="22" customFormat="false" ht="15" hidden="false" customHeight="false" outlineLevel="0" collapsed="false">
      <c r="A22" s="2" t="n">
        <v>45306</v>
      </c>
      <c r="B22" s="4" t="s">
        <v>89</v>
      </c>
      <c r="C22" s="4" t="s">
        <v>103</v>
      </c>
      <c r="D22" s="0" t="n">
        <v>3.7</v>
      </c>
      <c r="E22" s="3" t="n">
        <v>75</v>
      </c>
      <c r="F22" s="4" t="s">
        <v>22</v>
      </c>
    </row>
    <row r="23" customFormat="false" ht="15" hidden="false" customHeight="false" outlineLevel="0" collapsed="false">
      <c r="A23" s="2" t="n">
        <v>45296</v>
      </c>
      <c r="B23" s="4" t="s">
        <v>84</v>
      </c>
      <c r="C23" s="4" t="s">
        <v>104</v>
      </c>
      <c r="D23" s="0" t="n">
        <v>6.5</v>
      </c>
      <c r="E23" s="3" t="n">
        <v>75</v>
      </c>
      <c r="F23" s="4" t="s">
        <v>22</v>
      </c>
    </row>
    <row r="24" customFormat="false" ht="15" hidden="false" customHeight="false" outlineLevel="0" collapsed="false">
      <c r="A24" s="2" t="n">
        <v>45348</v>
      </c>
      <c r="B24" s="4" t="s">
        <v>24</v>
      </c>
      <c r="C24" s="4" t="s">
        <v>105</v>
      </c>
      <c r="D24" s="0" t="n">
        <v>7</v>
      </c>
      <c r="E24" s="3" t="n">
        <v>110</v>
      </c>
      <c r="F24" s="4" t="s">
        <v>16</v>
      </c>
    </row>
    <row r="25" customFormat="false" ht="15" hidden="false" customHeight="false" outlineLevel="0" collapsed="false">
      <c r="A25" s="2" t="n">
        <v>45433</v>
      </c>
      <c r="B25" s="4" t="s">
        <v>65</v>
      </c>
      <c r="C25" s="4" t="s">
        <v>105</v>
      </c>
      <c r="D25" s="0" t="n">
        <v>5.2</v>
      </c>
      <c r="E25" s="3" t="n">
        <v>75</v>
      </c>
      <c r="F25" s="4" t="s">
        <v>22</v>
      </c>
    </row>
    <row r="26" customFormat="false" ht="15" hidden="false" customHeight="false" outlineLevel="0" collapsed="false">
      <c r="A26" s="2" t="n">
        <v>45353</v>
      </c>
      <c r="B26" s="4" t="s">
        <v>28</v>
      </c>
      <c r="C26" s="4" t="s">
        <v>103</v>
      </c>
      <c r="D26" s="0" t="n">
        <v>2.5</v>
      </c>
      <c r="E26" s="3" t="n">
        <v>85</v>
      </c>
      <c r="F26" s="4" t="s">
        <v>16</v>
      </c>
    </row>
    <row r="27" customFormat="false" ht="15" hidden="false" customHeight="false" outlineLevel="0" collapsed="false">
      <c r="A27" s="2" t="n">
        <v>45371</v>
      </c>
      <c r="B27" s="4" t="s">
        <v>84</v>
      </c>
      <c r="C27" s="4" t="s">
        <v>105</v>
      </c>
      <c r="D27" s="0" t="n">
        <v>4.5</v>
      </c>
      <c r="E27" s="3" t="n">
        <v>85</v>
      </c>
      <c r="F27" s="4" t="s">
        <v>22</v>
      </c>
    </row>
    <row r="28" customFormat="false" ht="15" hidden="false" customHeight="false" outlineLevel="0" collapsed="false">
      <c r="A28" s="2" t="n">
        <v>45420</v>
      </c>
      <c r="B28" s="4" t="s">
        <v>86</v>
      </c>
      <c r="C28" s="4" t="s">
        <v>103</v>
      </c>
      <c r="D28" s="0" t="n">
        <v>2.5</v>
      </c>
      <c r="E28" s="3" t="n">
        <v>75</v>
      </c>
      <c r="F28" s="4" t="s">
        <v>22</v>
      </c>
    </row>
    <row r="29" customFormat="false" ht="15" hidden="false" customHeight="false" outlineLevel="0" collapsed="false">
      <c r="A29" s="2" t="n">
        <v>45301</v>
      </c>
      <c r="B29" s="4" t="s">
        <v>11</v>
      </c>
      <c r="C29" s="4" t="s">
        <v>104</v>
      </c>
      <c r="D29" s="0" t="n">
        <v>6</v>
      </c>
      <c r="E29" s="3" t="n">
        <v>120</v>
      </c>
      <c r="F29" s="4" t="s">
        <v>22</v>
      </c>
    </row>
    <row r="30" customFormat="false" ht="15" hidden="false" customHeight="false" outlineLevel="0" collapsed="false">
      <c r="A30" s="2" t="n">
        <v>45423</v>
      </c>
      <c r="B30" s="4" t="s">
        <v>70</v>
      </c>
      <c r="C30" s="4" t="s">
        <v>103</v>
      </c>
      <c r="D30" s="0" t="n">
        <v>7.5</v>
      </c>
      <c r="E30" s="3" t="n">
        <v>75</v>
      </c>
      <c r="F30" s="4" t="s">
        <v>22</v>
      </c>
    </row>
    <row r="31" customFormat="false" ht="15" hidden="false" customHeight="false" outlineLevel="0" collapsed="false">
      <c r="A31" s="2" t="n">
        <v>45458</v>
      </c>
      <c r="B31" s="4" t="s">
        <v>65</v>
      </c>
      <c r="C31" s="4" t="s">
        <v>106</v>
      </c>
      <c r="D31" s="0" t="n">
        <v>4.2</v>
      </c>
      <c r="E31" s="3" t="n">
        <v>110</v>
      </c>
      <c r="F31" s="4" t="s">
        <v>22</v>
      </c>
    </row>
    <row r="32" customFormat="false" ht="15" hidden="false" customHeight="false" outlineLevel="0" collapsed="false">
      <c r="A32" s="2" t="n">
        <v>45370</v>
      </c>
      <c r="B32" s="4" t="s">
        <v>89</v>
      </c>
      <c r="C32" s="4" t="s">
        <v>103</v>
      </c>
      <c r="D32" s="0" t="n">
        <v>7.9</v>
      </c>
      <c r="E32" s="3" t="n">
        <v>95</v>
      </c>
      <c r="F32" s="4" t="s">
        <v>16</v>
      </c>
    </row>
    <row r="33" customFormat="false" ht="15" hidden="false" customHeight="false" outlineLevel="0" collapsed="false">
      <c r="A33" s="2" t="n">
        <v>45472</v>
      </c>
      <c r="B33" s="4" t="s">
        <v>93</v>
      </c>
      <c r="C33" s="4" t="s">
        <v>106</v>
      </c>
      <c r="D33" s="0" t="n">
        <v>1.5</v>
      </c>
      <c r="E33" s="3" t="n">
        <v>95</v>
      </c>
      <c r="F33" s="4" t="s">
        <v>22</v>
      </c>
    </row>
    <row r="34" customFormat="false" ht="15" hidden="false" customHeight="false" outlineLevel="0" collapsed="false">
      <c r="A34" s="2" t="n">
        <v>45325</v>
      </c>
      <c r="B34" s="4" t="s">
        <v>11</v>
      </c>
      <c r="C34" s="4" t="s">
        <v>104</v>
      </c>
      <c r="D34" s="0" t="n">
        <v>5.2</v>
      </c>
      <c r="E34" s="3" t="n">
        <v>95</v>
      </c>
      <c r="F34" s="4" t="s">
        <v>22</v>
      </c>
    </row>
    <row r="35" customFormat="false" ht="15" hidden="false" customHeight="false" outlineLevel="0" collapsed="false">
      <c r="A35" s="2" t="n">
        <v>45306</v>
      </c>
      <c r="B35" s="4" t="s">
        <v>24</v>
      </c>
      <c r="C35" s="4" t="s">
        <v>106</v>
      </c>
      <c r="D35" s="0" t="n">
        <v>6.8</v>
      </c>
      <c r="E35" s="3" t="n">
        <v>120</v>
      </c>
      <c r="F35" s="4" t="s">
        <v>22</v>
      </c>
    </row>
    <row r="36" customFormat="false" ht="15" hidden="false" customHeight="false" outlineLevel="0" collapsed="false">
      <c r="A36" s="2" t="n">
        <v>45364</v>
      </c>
      <c r="B36" s="4" t="s">
        <v>81</v>
      </c>
      <c r="C36" s="4" t="s">
        <v>103</v>
      </c>
      <c r="D36" s="0" t="n">
        <v>5.7</v>
      </c>
      <c r="E36" s="3" t="n">
        <v>75</v>
      </c>
      <c r="F36" s="4" t="s">
        <v>22</v>
      </c>
    </row>
    <row r="37" customFormat="false" ht="15" hidden="false" customHeight="false" outlineLevel="0" collapsed="false">
      <c r="A37" s="2" t="n">
        <v>45332</v>
      </c>
      <c r="B37" s="4" t="s">
        <v>49</v>
      </c>
      <c r="C37" s="4" t="s">
        <v>107</v>
      </c>
      <c r="D37" s="0" t="n">
        <v>0.5</v>
      </c>
      <c r="E37" s="3" t="n">
        <v>95</v>
      </c>
      <c r="F37" s="4" t="s">
        <v>22</v>
      </c>
    </row>
    <row r="38" customFormat="false" ht="15" hidden="false" customHeight="false" outlineLevel="0" collapsed="false">
      <c r="A38" s="2" t="n">
        <v>45432</v>
      </c>
      <c r="B38" s="4" t="s">
        <v>56</v>
      </c>
      <c r="C38" s="4" t="s">
        <v>103</v>
      </c>
      <c r="D38" s="0" t="n">
        <v>0.8</v>
      </c>
      <c r="E38" s="3" t="n">
        <v>95</v>
      </c>
      <c r="F38" s="4" t="s">
        <v>16</v>
      </c>
    </row>
    <row r="39" customFormat="false" ht="15" hidden="false" customHeight="false" outlineLevel="0" collapsed="false">
      <c r="A39" s="2" t="n">
        <v>45338</v>
      </c>
      <c r="B39" s="4" t="s">
        <v>11</v>
      </c>
      <c r="C39" s="4" t="s">
        <v>105</v>
      </c>
      <c r="D39" s="0" t="n">
        <v>3.4</v>
      </c>
      <c r="E39" s="3" t="n">
        <v>110</v>
      </c>
      <c r="F39" s="4" t="s">
        <v>22</v>
      </c>
    </row>
    <row r="40" customFormat="false" ht="15" hidden="false" customHeight="false" outlineLevel="0" collapsed="false">
      <c r="A40" s="2" t="n">
        <v>45459</v>
      </c>
      <c r="B40" s="4" t="s">
        <v>41</v>
      </c>
      <c r="C40" s="4" t="s">
        <v>103</v>
      </c>
      <c r="D40" s="0" t="n">
        <v>4.3</v>
      </c>
      <c r="E40" s="3" t="n">
        <v>75</v>
      </c>
      <c r="F40" s="4" t="s">
        <v>16</v>
      </c>
    </row>
    <row r="41" customFormat="false" ht="15" hidden="false" customHeight="false" outlineLevel="0" collapsed="false">
      <c r="A41" s="2" t="n">
        <v>45314</v>
      </c>
      <c r="B41" s="4" t="s">
        <v>32</v>
      </c>
      <c r="C41" s="4" t="s">
        <v>107</v>
      </c>
      <c r="D41" s="0" t="n">
        <v>4.9</v>
      </c>
      <c r="E41" s="3" t="n">
        <v>110</v>
      </c>
      <c r="F41" s="4" t="s">
        <v>16</v>
      </c>
    </row>
    <row r="42" customFormat="false" ht="15" hidden="false" customHeight="false" outlineLevel="0" collapsed="false">
      <c r="A42" s="2" t="n">
        <v>45369</v>
      </c>
      <c r="B42" s="4" t="s">
        <v>84</v>
      </c>
      <c r="C42" s="4" t="s">
        <v>103</v>
      </c>
      <c r="D42" s="0" t="n">
        <v>1.1</v>
      </c>
      <c r="E42" s="3" t="n">
        <v>120</v>
      </c>
      <c r="F42" s="4" t="s">
        <v>22</v>
      </c>
    </row>
    <row r="43" customFormat="false" ht="15" hidden="false" customHeight="false" outlineLevel="0" collapsed="false">
      <c r="A43" s="2" t="n">
        <v>45331</v>
      </c>
      <c r="B43" s="4" t="s">
        <v>86</v>
      </c>
      <c r="C43" s="4" t="s">
        <v>106</v>
      </c>
      <c r="D43" s="0" t="n">
        <v>6.4</v>
      </c>
      <c r="E43" s="3" t="n">
        <v>120</v>
      </c>
      <c r="F43" s="4" t="s">
        <v>22</v>
      </c>
    </row>
    <row r="44" customFormat="false" ht="15" hidden="false" customHeight="false" outlineLevel="0" collapsed="false">
      <c r="A44" s="2" t="n">
        <v>45375</v>
      </c>
      <c r="B44" s="4" t="s">
        <v>93</v>
      </c>
      <c r="C44" s="4" t="s">
        <v>107</v>
      </c>
      <c r="D44" s="0" t="n">
        <v>1.6</v>
      </c>
      <c r="E44" s="3" t="n">
        <v>120</v>
      </c>
      <c r="F44" s="4" t="s">
        <v>22</v>
      </c>
    </row>
    <row r="45" customFormat="false" ht="15" hidden="false" customHeight="false" outlineLevel="0" collapsed="false">
      <c r="A45" s="2" t="n">
        <v>45303</v>
      </c>
      <c r="B45" s="4" t="s">
        <v>89</v>
      </c>
      <c r="C45" s="4" t="s">
        <v>102</v>
      </c>
      <c r="D45" s="0" t="n">
        <v>5.2</v>
      </c>
      <c r="E45" s="3" t="n">
        <v>120</v>
      </c>
      <c r="F45" s="4" t="s">
        <v>16</v>
      </c>
    </row>
    <row r="46" customFormat="false" ht="15" hidden="false" customHeight="false" outlineLevel="0" collapsed="false">
      <c r="A46" s="2" t="n">
        <v>45426</v>
      </c>
      <c r="B46" s="4" t="s">
        <v>95</v>
      </c>
      <c r="C46" s="4" t="s">
        <v>102</v>
      </c>
      <c r="D46" s="0" t="n">
        <v>4.8</v>
      </c>
      <c r="E46" s="3" t="n">
        <v>75</v>
      </c>
      <c r="F46" s="4" t="s">
        <v>22</v>
      </c>
    </row>
    <row r="47" customFormat="false" ht="15" hidden="false" customHeight="false" outlineLevel="0" collapsed="false">
      <c r="A47" s="2" t="n">
        <v>45441</v>
      </c>
      <c r="B47" s="4" t="s">
        <v>89</v>
      </c>
      <c r="C47" s="4" t="s">
        <v>106</v>
      </c>
      <c r="D47" s="0" t="n">
        <v>7.7</v>
      </c>
      <c r="E47" s="3" t="n">
        <v>85</v>
      </c>
      <c r="F47" s="4" t="s">
        <v>16</v>
      </c>
    </row>
    <row r="48" customFormat="false" ht="15" hidden="false" customHeight="false" outlineLevel="0" collapsed="false">
      <c r="A48" s="2" t="n">
        <v>45302</v>
      </c>
      <c r="B48" s="4" t="s">
        <v>32</v>
      </c>
      <c r="C48" s="4" t="s">
        <v>106</v>
      </c>
      <c r="D48" s="0" t="n">
        <v>3.2</v>
      </c>
      <c r="E48" s="3" t="n">
        <v>75</v>
      </c>
      <c r="F48" s="4" t="s">
        <v>22</v>
      </c>
    </row>
    <row r="49" customFormat="false" ht="15" hidden="false" customHeight="false" outlineLevel="0" collapsed="false">
      <c r="A49" s="2" t="n">
        <v>45407</v>
      </c>
      <c r="B49" s="4" t="s">
        <v>74</v>
      </c>
      <c r="C49" s="4" t="s">
        <v>104</v>
      </c>
      <c r="D49" s="0" t="n">
        <v>5.2</v>
      </c>
      <c r="E49" s="3" t="n">
        <v>120</v>
      </c>
      <c r="F49" s="4" t="s">
        <v>22</v>
      </c>
    </row>
    <row r="50" customFormat="false" ht="15" hidden="false" customHeight="false" outlineLevel="0" collapsed="false">
      <c r="A50" s="2" t="n">
        <v>45417</v>
      </c>
      <c r="B50" s="4" t="s">
        <v>49</v>
      </c>
      <c r="C50" s="4" t="s">
        <v>104</v>
      </c>
      <c r="D50" s="0" t="n">
        <v>3.9</v>
      </c>
      <c r="E50" s="3" t="n">
        <v>75</v>
      </c>
      <c r="F50" s="4" t="s">
        <v>22</v>
      </c>
    </row>
    <row r="51" customFormat="false" ht="15" hidden="false" customHeight="false" outlineLevel="0" collapsed="false">
      <c r="A51" s="2" t="n">
        <v>45420</v>
      </c>
      <c r="B51" s="4" t="s">
        <v>74</v>
      </c>
      <c r="C51" s="4" t="s">
        <v>104</v>
      </c>
      <c r="D51" s="0" t="n">
        <v>5.4</v>
      </c>
      <c r="E51" s="3" t="n">
        <v>75</v>
      </c>
      <c r="F51" s="4" t="s">
        <v>22</v>
      </c>
    </row>
    <row r="52" customFormat="false" ht="15" hidden="false" customHeight="false" outlineLevel="0" collapsed="false">
      <c r="A52" s="2" t="n">
        <v>45413</v>
      </c>
      <c r="B52" s="4" t="s">
        <v>49</v>
      </c>
      <c r="C52" s="4" t="s">
        <v>104</v>
      </c>
      <c r="D52" s="0" t="n">
        <v>6.8</v>
      </c>
      <c r="E52" s="3" t="n">
        <v>85</v>
      </c>
      <c r="F52" s="4" t="s">
        <v>22</v>
      </c>
    </row>
    <row r="53" customFormat="false" ht="15" hidden="false" customHeight="false" outlineLevel="0" collapsed="false">
      <c r="A53" s="2" t="n">
        <v>45344</v>
      </c>
      <c r="B53" s="4" t="s">
        <v>45</v>
      </c>
      <c r="C53" s="4" t="s">
        <v>106</v>
      </c>
      <c r="D53" s="0" t="n">
        <v>5.4</v>
      </c>
      <c r="E53" s="3" t="n">
        <v>110</v>
      </c>
      <c r="F53" s="4" t="s">
        <v>22</v>
      </c>
    </row>
    <row r="54" customFormat="false" ht="15" hidden="false" customHeight="false" outlineLevel="0" collapsed="false">
      <c r="A54" s="2" t="n">
        <v>45389</v>
      </c>
      <c r="B54" s="4" t="s">
        <v>24</v>
      </c>
      <c r="C54" s="4" t="s">
        <v>107</v>
      </c>
      <c r="D54" s="0" t="n">
        <v>7.3</v>
      </c>
      <c r="E54" s="3" t="n">
        <v>95</v>
      </c>
      <c r="F54" s="4" t="s">
        <v>22</v>
      </c>
    </row>
    <row r="55" customFormat="false" ht="15" hidden="false" customHeight="false" outlineLevel="0" collapsed="false">
      <c r="A55" s="2" t="n">
        <v>45449</v>
      </c>
      <c r="B55" s="4" t="s">
        <v>84</v>
      </c>
      <c r="C55" s="4" t="s">
        <v>106</v>
      </c>
      <c r="D55" s="0" t="n">
        <v>2</v>
      </c>
      <c r="E55" s="3" t="n">
        <v>120</v>
      </c>
      <c r="F55" s="4" t="s">
        <v>16</v>
      </c>
    </row>
    <row r="56" customFormat="false" ht="15" hidden="false" customHeight="false" outlineLevel="0" collapsed="false">
      <c r="A56" s="2" t="n">
        <v>45357</v>
      </c>
      <c r="B56" s="4" t="s">
        <v>84</v>
      </c>
      <c r="C56" s="4" t="s">
        <v>106</v>
      </c>
      <c r="D56" s="0" t="n">
        <v>5.7</v>
      </c>
      <c r="E56" s="3" t="n">
        <v>120</v>
      </c>
      <c r="F56" s="4" t="s">
        <v>22</v>
      </c>
    </row>
    <row r="57" customFormat="false" ht="15" hidden="false" customHeight="false" outlineLevel="0" collapsed="false">
      <c r="A57" s="2" t="n">
        <v>45295</v>
      </c>
      <c r="B57" s="4" t="s">
        <v>70</v>
      </c>
      <c r="C57" s="4" t="s">
        <v>104</v>
      </c>
      <c r="D57" s="0" t="n">
        <v>4.1</v>
      </c>
      <c r="E57" s="3" t="n">
        <v>75</v>
      </c>
      <c r="F57" s="4" t="s">
        <v>22</v>
      </c>
    </row>
    <row r="58" customFormat="false" ht="15" hidden="false" customHeight="false" outlineLevel="0" collapsed="false">
      <c r="A58" s="2" t="n">
        <v>45464</v>
      </c>
      <c r="B58" s="4" t="s">
        <v>70</v>
      </c>
      <c r="C58" s="4" t="s">
        <v>105</v>
      </c>
      <c r="D58" s="0" t="n">
        <v>5.8</v>
      </c>
      <c r="E58" s="3" t="n">
        <v>95</v>
      </c>
      <c r="F58" s="4" t="s">
        <v>22</v>
      </c>
    </row>
    <row r="59" customFormat="false" ht="15" hidden="false" customHeight="false" outlineLevel="0" collapsed="false">
      <c r="A59" s="2" t="n">
        <v>45411</v>
      </c>
      <c r="B59" s="4" t="s">
        <v>95</v>
      </c>
      <c r="C59" s="4" t="s">
        <v>104</v>
      </c>
      <c r="D59" s="0" t="n">
        <v>7.9</v>
      </c>
      <c r="E59" s="3" t="n">
        <v>120</v>
      </c>
      <c r="F59" s="4" t="s">
        <v>16</v>
      </c>
    </row>
    <row r="60" customFormat="false" ht="15" hidden="false" customHeight="false" outlineLevel="0" collapsed="false">
      <c r="A60" s="2" t="n">
        <v>45313</v>
      </c>
      <c r="B60" s="4" t="s">
        <v>70</v>
      </c>
      <c r="C60" s="4" t="s">
        <v>104</v>
      </c>
      <c r="D60" s="0" t="n">
        <v>2.7</v>
      </c>
      <c r="E60" s="3" t="n">
        <v>75</v>
      </c>
      <c r="F60" s="4" t="s">
        <v>22</v>
      </c>
    </row>
    <row r="61" customFormat="false" ht="15" hidden="false" customHeight="false" outlineLevel="0" collapsed="false">
      <c r="A61" s="2" t="n">
        <v>45407</v>
      </c>
      <c r="B61" s="4" t="s">
        <v>49</v>
      </c>
      <c r="C61" s="4" t="s">
        <v>107</v>
      </c>
      <c r="D61" s="0" t="n">
        <v>2.1</v>
      </c>
      <c r="E61" s="3" t="n">
        <v>85</v>
      </c>
      <c r="F61" s="4" t="s">
        <v>16</v>
      </c>
    </row>
    <row r="62" customFormat="false" ht="15" hidden="false" customHeight="false" outlineLevel="0" collapsed="false">
      <c r="A62" s="2" t="n">
        <v>45315</v>
      </c>
      <c r="B62" s="4" t="s">
        <v>32</v>
      </c>
      <c r="C62" s="4" t="s">
        <v>106</v>
      </c>
      <c r="D62" s="0" t="n">
        <v>4.4</v>
      </c>
      <c r="E62" s="3" t="n">
        <v>95</v>
      </c>
      <c r="F62" s="4" t="s">
        <v>16</v>
      </c>
    </row>
    <row r="63" customFormat="false" ht="15" hidden="false" customHeight="false" outlineLevel="0" collapsed="false">
      <c r="A63" s="2" t="n">
        <v>45453</v>
      </c>
      <c r="B63" s="4" t="s">
        <v>71</v>
      </c>
      <c r="C63" s="4" t="s">
        <v>105</v>
      </c>
      <c r="D63" s="0" t="n">
        <v>7.2</v>
      </c>
      <c r="E63" s="3" t="n">
        <v>95</v>
      </c>
      <c r="F63" s="4" t="s">
        <v>16</v>
      </c>
    </row>
    <row r="64" customFormat="false" ht="15" hidden="false" customHeight="false" outlineLevel="0" collapsed="false">
      <c r="A64" s="2" t="n">
        <v>45416</v>
      </c>
      <c r="B64" s="4" t="s">
        <v>62</v>
      </c>
      <c r="C64" s="4" t="s">
        <v>104</v>
      </c>
      <c r="D64" s="0" t="n">
        <v>1.7</v>
      </c>
      <c r="E64" s="3" t="n">
        <v>110</v>
      </c>
      <c r="F64" s="4" t="s">
        <v>22</v>
      </c>
    </row>
    <row r="65" customFormat="false" ht="15" hidden="false" customHeight="false" outlineLevel="0" collapsed="false">
      <c r="A65" s="2" t="n">
        <v>45395</v>
      </c>
      <c r="B65" s="4" t="s">
        <v>53</v>
      </c>
      <c r="C65" s="4" t="s">
        <v>106</v>
      </c>
      <c r="D65" s="0" t="n">
        <v>1.6</v>
      </c>
      <c r="E65" s="3" t="n">
        <v>95</v>
      </c>
      <c r="F65" s="4" t="s">
        <v>22</v>
      </c>
    </row>
    <row r="66" customFormat="false" ht="15" hidden="false" customHeight="false" outlineLevel="0" collapsed="false">
      <c r="A66" s="2" t="n">
        <v>45322</v>
      </c>
      <c r="B66" s="4" t="s">
        <v>56</v>
      </c>
      <c r="C66" s="4" t="s">
        <v>104</v>
      </c>
      <c r="D66" s="0" t="n">
        <v>2.9</v>
      </c>
      <c r="E66" s="3" t="n">
        <v>95</v>
      </c>
      <c r="F66" s="4" t="s">
        <v>22</v>
      </c>
    </row>
    <row r="67" customFormat="false" ht="15" hidden="false" customHeight="false" outlineLevel="0" collapsed="false">
      <c r="A67" s="2" t="n">
        <v>45322</v>
      </c>
      <c r="B67" s="4" t="s">
        <v>41</v>
      </c>
      <c r="C67" s="4" t="s">
        <v>106</v>
      </c>
      <c r="D67" s="0" t="n">
        <v>0.6</v>
      </c>
      <c r="E67" s="3" t="n">
        <v>95</v>
      </c>
      <c r="F67" s="4" t="s">
        <v>22</v>
      </c>
    </row>
    <row r="68" customFormat="false" ht="15" hidden="false" customHeight="false" outlineLevel="0" collapsed="false">
      <c r="A68" s="2" t="n">
        <v>45308</v>
      </c>
      <c r="B68" s="4" t="s">
        <v>62</v>
      </c>
      <c r="C68" s="4" t="s">
        <v>107</v>
      </c>
      <c r="D68" s="0" t="n">
        <v>8</v>
      </c>
      <c r="E68" s="3" t="n">
        <v>120</v>
      </c>
      <c r="F68" s="4" t="s">
        <v>16</v>
      </c>
    </row>
    <row r="69" customFormat="false" ht="15" hidden="false" customHeight="false" outlineLevel="0" collapsed="false">
      <c r="A69" s="2" t="n">
        <v>45401</v>
      </c>
      <c r="B69" s="4" t="s">
        <v>95</v>
      </c>
      <c r="C69" s="4" t="s">
        <v>105</v>
      </c>
      <c r="D69" s="0" t="n">
        <v>6.9</v>
      </c>
      <c r="E69" s="3" t="n">
        <v>95</v>
      </c>
      <c r="F69" s="4" t="s">
        <v>16</v>
      </c>
    </row>
    <row r="70" customFormat="false" ht="15" hidden="false" customHeight="false" outlineLevel="0" collapsed="false">
      <c r="A70" s="2" t="n">
        <v>45461</v>
      </c>
      <c r="B70" s="4" t="s">
        <v>53</v>
      </c>
      <c r="C70" s="4" t="s">
        <v>106</v>
      </c>
      <c r="D70" s="0" t="n">
        <v>7.5</v>
      </c>
      <c r="E70" s="3" t="n">
        <v>85</v>
      </c>
      <c r="F70" s="4" t="s">
        <v>22</v>
      </c>
    </row>
    <row r="71" customFormat="false" ht="15" hidden="false" customHeight="false" outlineLevel="0" collapsed="false">
      <c r="A71" s="2" t="n">
        <v>45403</v>
      </c>
      <c r="B71" s="4" t="s">
        <v>71</v>
      </c>
      <c r="C71" s="4" t="s">
        <v>105</v>
      </c>
      <c r="D71" s="0" t="n">
        <v>1.9</v>
      </c>
      <c r="E71" s="3" t="n">
        <v>95</v>
      </c>
      <c r="F71" s="4" t="s">
        <v>22</v>
      </c>
    </row>
    <row r="72" customFormat="false" ht="15" hidden="false" customHeight="false" outlineLevel="0" collapsed="false">
      <c r="A72" s="2" t="n">
        <v>45401</v>
      </c>
      <c r="B72" s="4" t="s">
        <v>11</v>
      </c>
      <c r="C72" s="4" t="s">
        <v>106</v>
      </c>
      <c r="D72" s="0" t="n">
        <v>3.5</v>
      </c>
      <c r="E72" s="3" t="n">
        <v>120</v>
      </c>
      <c r="F72" s="4" t="s">
        <v>22</v>
      </c>
    </row>
    <row r="73" customFormat="false" ht="15" hidden="false" customHeight="false" outlineLevel="0" collapsed="false">
      <c r="A73" s="2" t="n">
        <v>45312</v>
      </c>
      <c r="B73" s="4" t="s">
        <v>18</v>
      </c>
      <c r="C73" s="4" t="s">
        <v>106</v>
      </c>
      <c r="D73" s="0" t="n">
        <v>3.6</v>
      </c>
      <c r="E73" s="3" t="n">
        <v>120</v>
      </c>
      <c r="F73" s="4" t="s">
        <v>22</v>
      </c>
    </row>
    <row r="74" customFormat="false" ht="15" hidden="false" customHeight="false" outlineLevel="0" collapsed="false">
      <c r="A74" s="2" t="n">
        <v>45456</v>
      </c>
      <c r="B74" s="4" t="s">
        <v>53</v>
      </c>
      <c r="C74" s="4" t="s">
        <v>107</v>
      </c>
      <c r="D74" s="0" t="n">
        <v>0.9</v>
      </c>
      <c r="E74" s="3" t="n">
        <v>120</v>
      </c>
      <c r="F74" s="4" t="s">
        <v>16</v>
      </c>
    </row>
    <row r="75" customFormat="false" ht="15" hidden="false" customHeight="false" outlineLevel="0" collapsed="false">
      <c r="A75" s="2" t="n">
        <v>45412</v>
      </c>
      <c r="B75" s="4" t="s">
        <v>65</v>
      </c>
      <c r="C75" s="4" t="s">
        <v>105</v>
      </c>
      <c r="D75" s="0" t="n">
        <v>2.6</v>
      </c>
      <c r="E75" s="3" t="n">
        <v>95</v>
      </c>
      <c r="F75" s="4" t="s">
        <v>22</v>
      </c>
    </row>
    <row r="76" customFormat="false" ht="15" hidden="false" customHeight="false" outlineLevel="0" collapsed="false">
      <c r="A76" s="2" t="n">
        <v>45459</v>
      </c>
      <c r="B76" s="4" t="s">
        <v>49</v>
      </c>
      <c r="C76" s="4" t="s">
        <v>107</v>
      </c>
      <c r="D76" s="0" t="n">
        <v>5.4</v>
      </c>
      <c r="E76" s="3" t="n">
        <v>95</v>
      </c>
      <c r="F76" s="4" t="s">
        <v>22</v>
      </c>
    </row>
    <row r="77" customFormat="false" ht="15" hidden="false" customHeight="false" outlineLevel="0" collapsed="false">
      <c r="A77" s="2" t="n">
        <v>45463</v>
      </c>
      <c r="B77" s="4" t="s">
        <v>62</v>
      </c>
      <c r="C77" s="4" t="s">
        <v>104</v>
      </c>
      <c r="D77" s="0" t="n">
        <v>1.8</v>
      </c>
      <c r="E77" s="3" t="n">
        <v>85</v>
      </c>
      <c r="F77" s="4" t="s">
        <v>16</v>
      </c>
    </row>
    <row r="78" customFormat="false" ht="15" hidden="false" customHeight="false" outlineLevel="0" collapsed="false">
      <c r="A78" s="2" t="n">
        <v>45420</v>
      </c>
      <c r="B78" s="4" t="s">
        <v>70</v>
      </c>
      <c r="C78" s="4" t="s">
        <v>102</v>
      </c>
      <c r="D78" s="0" t="n">
        <v>2.2</v>
      </c>
      <c r="E78" s="3" t="n">
        <v>95</v>
      </c>
      <c r="F78" s="4" t="s">
        <v>22</v>
      </c>
    </row>
    <row r="79" customFormat="false" ht="15" hidden="false" customHeight="false" outlineLevel="0" collapsed="false">
      <c r="A79" s="2" t="n">
        <v>45407</v>
      </c>
      <c r="B79" s="4" t="s">
        <v>65</v>
      </c>
      <c r="C79" s="4" t="s">
        <v>103</v>
      </c>
      <c r="D79" s="0" t="n">
        <v>4.6</v>
      </c>
      <c r="E79" s="3" t="n">
        <v>85</v>
      </c>
      <c r="F79" s="4" t="s">
        <v>16</v>
      </c>
    </row>
    <row r="80" customFormat="false" ht="15" hidden="false" customHeight="false" outlineLevel="0" collapsed="false">
      <c r="A80" s="2" t="n">
        <v>45379</v>
      </c>
      <c r="B80" s="4" t="s">
        <v>74</v>
      </c>
      <c r="C80" s="4" t="s">
        <v>104</v>
      </c>
      <c r="D80" s="0" t="n">
        <v>2.9</v>
      </c>
      <c r="E80" s="3" t="n">
        <v>95</v>
      </c>
      <c r="F80" s="4" t="s">
        <v>22</v>
      </c>
    </row>
    <row r="81" customFormat="false" ht="15" hidden="false" customHeight="false" outlineLevel="0" collapsed="false">
      <c r="A81" s="2" t="n">
        <v>45437</v>
      </c>
      <c r="B81" s="4" t="s">
        <v>41</v>
      </c>
      <c r="C81" s="4" t="s">
        <v>104</v>
      </c>
      <c r="D81" s="0" t="n">
        <v>6.1</v>
      </c>
      <c r="E81" s="3" t="n">
        <v>110</v>
      </c>
      <c r="F81" s="4" t="s">
        <v>22</v>
      </c>
    </row>
    <row r="82" customFormat="false" ht="15" hidden="false" customHeight="false" outlineLevel="0" collapsed="false">
      <c r="A82" s="2" t="n">
        <v>45426</v>
      </c>
      <c r="B82" s="4" t="s">
        <v>41</v>
      </c>
      <c r="C82" s="4" t="s">
        <v>107</v>
      </c>
      <c r="D82" s="0" t="n">
        <v>2.5</v>
      </c>
      <c r="E82" s="3" t="n">
        <v>75</v>
      </c>
      <c r="F82" s="4" t="s">
        <v>22</v>
      </c>
    </row>
    <row r="83" customFormat="false" ht="15" hidden="false" customHeight="false" outlineLevel="0" collapsed="false">
      <c r="A83" s="2" t="n">
        <v>45439</v>
      </c>
      <c r="B83" s="4" t="s">
        <v>59</v>
      </c>
      <c r="C83" s="4" t="s">
        <v>103</v>
      </c>
      <c r="D83" s="0" t="n">
        <v>5.7</v>
      </c>
      <c r="E83" s="3" t="n">
        <v>120</v>
      </c>
      <c r="F83" s="4" t="s">
        <v>22</v>
      </c>
    </row>
    <row r="84" customFormat="false" ht="15" hidden="false" customHeight="false" outlineLevel="0" collapsed="false">
      <c r="A84" s="2" t="n">
        <v>45347</v>
      </c>
      <c r="B84" s="4" t="s">
        <v>24</v>
      </c>
      <c r="C84" s="4" t="s">
        <v>105</v>
      </c>
      <c r="D84" s="0" t="n">
        <v>7.2</v>
      </c>
      <c r="E84" s="3" t="n">
        <v>110</v>
      </c>
      <c r="F84" s="4" t="s">
        <v>22</v>
      </c>
    </row>
    <row r="85" customFormat="false" ht="15" hidden="false" customHeight="false" outlineLevel="0" collapsed="false">
      <c r="A85" s="2" t="n">
        <v>45406</v>
      </c>
      <c r="B85" s="4" t="s">
        <v>65</v>
      </c>
      <c r="C85" s="4" t="s">
        <v>105</v>
      </c>
      <c r="D85" s="0" t="n">
        <v>6.9</v>
      </c>
      <c r="E85" s="3" t="n">
        <v>75</v>
      </c>
      <c r="F85" s="4" t="s">
        <v>16</v>
      </c>
    </row>
    <row r="86" customFormat="false" ht="15" hidden="false" customHeight="false" outlineLevel="0" collapsed="false">
      <c r="A86" s="2" t="n">
        <v>45400</v>
      </c>
      <c r="B86" s="4" t="s">
        <v>89</v>
      </c>
      <c r="C86" s="4" t="s">
        <v>107</v>
      </c>
      <c r="D86" s="0" t="n">
        <v>7.8</v>
      </c>
      <c r="E86" s="3" t="n">
        <v>110</v>
      </c>
      <c r="F86" s="4" t="s">
        <v>16</v>
      </c>
    </row>
    <row r="87" customFormat="false" ht="15" hidden="false" customHeight="false" outlineLevel="0" collapsed="false">
      <c r="A87" s="2" t="n">
        <v>45392</v>
      </c>
      <c r="B87" s="4" t="s">
        <v>71</v>
      </c>
      <c r="C87" s="4" t="s">
        <v>107</v>
      </c>
      <c r="D87" s="0" t="n">
        <v>7.8</v>
      </c>
      <c r="E87" s="3" t="n">
        <v>85</v>
      </c>
      <c r="F87" s="4" t="s">
        <v>22</v>
      </c>
    </row>
    <row r="88" customFormat="false" ht="15" hidden="false" customHeight="false" outlineLevel="0" collapsed="false">
      <c r="A88" s="2" t="n">
        <v>45349</v>
      </c>
      <c r="B88" s="4" t="s">
        <v>32</v>
      </c>
      <c r="C88" s="4" t="s">
        <v>103</v>
      </c>
      <c r="D88" s="0" t="n">
        <v>4.4</v>
      </c>
      <c r="E88" s="3" t="n">
        <v>75</v>
      </c>
      <c r="F88" s="4" t="s">
        <v>22</v>
      </c>
    </row>
    <row r="89" customFormat="false" ht="15" hidden="false" customHeight="false" outlineLevel="0" collapsed="false">
      <c r="A89" s="2" t="n">
        <v>45471</v>
      </c>
      <c r="B89" s="4" t="s">
        <v>84</v>
      </c>
      <c r="C89" s="4" t="s">
        <v>107</v>
      </c>
      <c r="D89" s="0" t="n">
        <v>1.1</v>
      </c>
      <c r="E89" s="3" t="n">
        <v>75</v>
      </c>
      <c r="F89" s="4" t="s">
        <v>16</v>
      </c>
    </row>
    <row r="90" customFormat="false" ht="15" hidden="false" customHeight="false" outlineLevel="0" collapsed="false">
      <c r="A90" s="2" t="n">
        <v>45324</v>
      </c>
      <c r="B90" s="4" t="s">
        <v>45</v>
      </c>
      <c r="C90" s="4" t="s">
        <v>102</v>
      </c>
      <c r="D90" s="0" t="n">
        <v>7.4</v>
      </c>
      <c r="E90" s="3" t="n">
        <v>95</v>
      </c>
      <c r="F90" s="4" t="s">
        <v>22</v>
      </c>
    </row>
    <row r="91" customFormat="false" ht="15" hidden="false" customHeight="false" outlineLevel="0" collapsed="false">
      <c r="A91" s="2" t="n">
        <v>45452</v>
      </c>
      <c r="B91" s="4" t="s">
        <v>49</v>
      </c>
      <c r="C91" s="4" t="s">
        <v>102</v>
      </c>
      <c r="D91" s="0" t="n">
        <v>5.3</v>
      </c>
      <c r="E91" s="3" t="n">
        <v>75</v>
      </c>
      <c r="F91" s="4" t="s">
        <v>16</v>
      </c>
    </row>
    <row r="92" customFormat="false" ht="15" hidden="false" customHeight="false" outlineLevel="0" collapsed="false">
      <c r="A92" s="2" t="n">
        <v>45368</v>
      </c>
      <c r="B92" s="4" t="s">
        <v>71</v>
      </c>
      <c r="C92" s="4" t="s">
        <v>102</v>
      </c>
      <c r="D92" s="0" t="n">
        <v>1.9</v>
      </c>
      <c r="E92" s="3" t="n">
        <v>95</v>
      </c>
      <c r="F92" s="4" t="s">
        <v>16</v>
      </c>
    </row>
    <row r="93" customFormat="false" ht="15" hidden="false" customHeight="false" outlineLevel="0" collapsed="false">
      <c r="A93" s="2" t="n">
        <v>45445</v>
      </c>
      <c r="B93" s="4" t="s">
        <v>11</v>
      </c>
      <c r="C93" s="4" t="s">
        <v>104</v>
      </c>
      <c r="D93" s="0" t="n">
        <v>4.5</v>
      </c>
      <c r="E93" s="3" t="n">
        <v>110</v>
      </c>
      <c r="F93" s="4" t="s">
        <v>22</v>
      </c>
    </row>
    <row r="94" customFormat="false" ht="15" hidden="false" customHeight="false" outlineLevel="0" collapsed="false">
      <c r="A94" s="2" t="n">
        <v>45372</v>
      </c>
      <c r="B94" s="4" t="s">
        <v>84</v>
      </c>
      <c r="C94" s="4" t="s">
        <v>103</v>
      </c>
      <c r="D94" s="0" t="n">
        <v>4.1</v>
      </c>
      <c r="E94" s="3" t="n">
        <v>85</v>
      </c>
      <c r="F94" s="4" t="s">
        <v>22</v>
      </c>
    </row>
    <row r="95" customFormat="false" ht="15" hidden="false" customHeight="false" outlineLevel="0" collapsed="false">
      <c r="A95" s="2" t="n">
        <v>45299</v>
      </c>
      <c r="B95" s="4" t="s">
        <v>65</v>
      </c>
      <c r="C95" s="4" t="s">
        <v>106</v>
      </c>
      <c r="D95" s="0" t="n">
        <v>5.4</v>
      </c>
      <c r="E95" s="3" t="n">
        <v>75</v>
      </c>
      <c r="F95" s="4" t="s">
        <v>16</v>
      </c>
    </row>
    <row r="96" customFormat="false" ht="15" hidden="false" customHeight="false" outlineLevel="0" collapsed="false">
      <c r="A96" s="2" t="n">
        <v>45419</v>
      </c>
      <c r="B96" s="4" t="s">
        <v>86</v>
      </c>
      <c r="C96" s="4" t="s">
        <v>106</v>
      </c>
      <c r="D96" s="0" t="n">
        <v>3.7</v>
      </c>
      <c r="E96" s="3" t="n">
        <v>95</v>
      </c>
      <c r="F96" s="4" t="s">
        <v>16</v>
      </c>
    </row>
    <row r="97" customFormat="false" ht="15" hidden="false" customHeight="false" outlineLevel="0" collapsed="false">
      <c r="A97" s="2" t="n">
        <v>45400</v>
      </c>
      <c r="B97" s="4" t="s">
        <v>59</v>
      </c>
      <c r="C97" s="4" t="s">
        <v>103</v>
      </c>
      <c r="D97" s="0" t="n">
        <v>4.2</v>
      </c>
      <c r="E97" s="3" t="n">
        <v>95</v>
      </c>
      <c r="F97" s="4" t="s">
        <v>22</v>
      </c>
    </row>
    <row r="98" customFormat="false" ht="15" hidden="false" customHeight="false" outlineLevel="0" collapsed="false">
      <c r="A98" s="2" t="n">
        <v>45384</v>
      </c>
      <c r="B98" s="4" t="s">
        <v>86</v>
      </c>
      <c r="C98" s="4" t="s">
        <v>107</v>
      </c>
      <c r="D98" s="0" t="n">
        <v>2</v>
      </c>
      <c r="E98" s="3" t="n">
        <v>95</v>
      </c>
      <c r="F98" s="4" t="s">
        <v>22</v>
      </c>
    </row>
    <row r="99" customFormat="false" ht="15" hidden="false" customHeight="false" outlineLevel="0" collapsed="false">
      <c r="A99" s="2" t="n">
        <v>45421</v>
      </c>
      <c r="B99" s="4" t="s">
        <v>24</v>
      </c>
      <c r="C99" s="4" t="s">
        <v>103</v>
      </c>
      <c r="D99" s="0" t="n">
        <v>4.2</v>
      </c>
      <c r="E99" s="3" t="n">
        <v>85</v>
      </c>
      <c r="F99" s="4" t="s">
        <v>22</v>
      </c>
    </row>
    <row r="100" customFormat="false" ht="15" hidden="false" customHeight="false" outlineLevel="0" collapsed="false">
      <c r="A100" s="2" t="n">
        <v>45341</v>
      </c>
      <c r="B100" s="4" t="s">
        <v>45</v>
      </c>
      <c r="C100" s="4" t="s">
        <v>107</v>
      </c>
      <c r="D100" s="0" t="n">
        <v>2.2</v>
      </c>
      <c r="E100" s="3" t="n">
        <v>95</v>
      </c>
      <c r="F100" s="4" t="s">
        <v>16</v>
      </c>
    </row>
    <row r="101" customFormat="false" ht="15" hidden="false" customHeight="false" outlineLevel="0" collapsed="false">
      <c r="A101" s="2" t="n">
        <v>45451</v>
      </c>
      <c r="B101" s="4" t="s">
        <v>70</v>
      </c>
      <c r="C101" s="4" t="s">
        <v>102</v>
      </c>
      <c r="D101" s="0" t="n">
        <v>1.9</v>
      </c>
      <c r="E101" s="3" t="n">
        <v>85</v>
      </c>
      <c r="F101" s="4" t="s">
        <v>22</v>
      </c>
    </row>
    <row r="102" customFormat="false" ht="15" hidden="false" customHeight="false" outlineLevel="0" collapsed="false">
      <c r="A102" s="2" t="n">
        <v>45462</v>
      </c>
      <c r="B102" s="4" t="s">
        <v>18</v>
      </c>
      <c r="C102" s="4" t="s">
        <v>102</v>
      </c>
      <c r="D102" s="0" t="n">
        <v>1.6</v>
      </c>
      <c r="E102" s="3" t="n">
        <v>110</v>
      </c>
      <c r="F102" s="4" t="s">
        <v>16</v>
      </c>
    </row>
    <row r="103" customFormat="false" ht="15" hidden="false" customHeight="false" outlineLevel="0" collapsed="false">
      <c r="A103" s="2" t="n">
        <v>45298</v>
      </c>
      <c r="B103" s="4" t="s">
        <v>81</v>
      </c>
      <c r="C103" s="4" t="s">
        <v>103</v>
      </c>
      <c r="D103" s="0" t="n">
        <v>3.6</v>
      </c>
      <c r="E103" s="3" t="n">
        <v>75</v>
      </c>
      <c r="F103" s="4" t="s">
        <v>16</v>
      </c>
    </row>
    <row r="104" customFormat="false" ht="15" hidden="false" customHeight="false" outlineLevel="0" collapsed="false">
      <c r="A104" s="2" t="n">
        <v>45407</v>
      </c>
      <c r="B104" s="4" t="s">
        <v>89</v>
      </c>
      <c r="C104" s="4" t="s">
        <v>105</v>
      </c>
      <c r="D104" s="0" t="n">
        <v>6</v>
      </c>
      <c r="E104" s="3" t="n">
        <v>75</v>
      </c>
      <c r="F104" s="4" t="s">
        <v>22</v>
      </c>
    </row>
    <row r="105" customFormat="false" ht="15" hidden="false" customHeight="false" outlineLevel="0" collapsed="false">
      <c r="A105" s="2" t="n">
        <v>45376</v>
      </c>
      <c r="B105" s="4" t="s">
        <v>41</v>
      </c>
      <c r="C105" s="4" t="s">
        <v>103</v>
      </c>
      <c r="D105" s="0" t="n">
        <v>5.4</v>
      </c>
      <c r="E105" s="3" t="n">
        <v>120</v>
      </c>
      <c r="F105" s="4" t="s">
        <v>22</v>
      </c>
    </row>
    <row r="106" customFormat="false" ht="15" hidden="false" customHeight="false" outlineLevel="0" collapsed="false">
      <c r="A106" s="2" t="n">
        <v>45300</v>
      </c>
      <c r="B106" s="4" t="s">
        <v>53</v>
      </c>
      <c r="C106" s="4" t="s">
        <v>106</v>
      </c>
      <c r="D106" s="0" t="n">
        <v>5.9</v>
      </c>
      <c r="E106" s="3" t="n">
        <v>95</v>
      </c>
      <c r="F106" s="4" t="s">
        <v>22</v>
      </c>
    </row>
    <row r="107" customFormat="false" ht="15" hidden="false" customHeight="false" outlineLevel="0" collapsed="false">
      <c r="A107" s="2" t="n">
        <v>45405</v>
      </c>
      <c r="B107" s="4" t="s">
        <v>36</v>
      </c>
      <c r="C107" s="4" t="s">
        <v>104</v>
      </c>
      <c r="D107" s="0" t="n">
        <v>0.5</v>
      </c>
      <c r="E107" s="3" t="n">
        <v>95</v>
      </c>
      <c r="F107" s="4" t="s">
        <v>16</v>
      </c>
    </row>
    <row r="108" customFormat="false" ht="15" hidden="false" customHeight="false" outlineLevel="0" collapsed="false">
      <c r="A108" s="2" t="n">
        <v>45399</v>
      </c>
      <c r="B108" s="4" t="s">
        <v>28</v>
      </c>
      <c r="C108" s="4" t="s">
        <v>102</v>
      </c>
      <c r="D108" s="0" t="n">
        <v>7.7</v>
      </c>
      <c r="E108" s="3" t="n">
        <v>85</v>
      </c>
      <c r="F108" s="4" t="s">
        <v>22</v>
      </c>
    </row>
    <row r="109" customFormat="false" ht="15" hidden="false" customHeight="false" outlineLevel="0" collapsed="false">
      <c r="A109" s="2" t="n">
        <v>45371</v>
      </c>
      <c r="B109" s="4" t="s">
        <v>65</v>
      </c>
      <c r="C109" s="4" t="s">
        <v>104</v>
      </c>
      <c r="D109" s="0" t="n">
        <v>0.9</v>
      </c>
      <c r="E109" s="3" t="n">
        <v>110</v>
      </c>
      <c r="F109" s="4" t="s">
        <v>16</v>
      </c>
    </row>
    <row r="110" customFormat="false" ht="15" hidden="false" customHeight="false" outlineLevel="0" collapsed="false">
      <c r="A110" s="2" t="n">
        <v>45430</v>
      </c>
      <c r="B110" s="4" t="s">
        <v>67</v>
      </c>
      <c r="C110" s="4" t="s">
        <v>103</v>
      </c>
      <c r="D110" s="0" t="n">
        <v>2.9</v>
      </c>
      <c r="E110" s="3" t="n">
        <v>110</v>
      </c>
      <c r="F110" s="4" t="s">
        <v>16</v>
      </c>
    </row>
    <row r="111" customFormat="false" ht="15" hidden="false" customHeight="false" outlineLevel="0" collapsed="false">
      <c r="A111" s="2" t="n">
        <v>45397</v>
      </c>
      <c r="B111" s="4" t="s">
        <v>45</v>
      </c>
      <c r="C111" s="4" t="s">
        <v>106</v>
      </c>
      <c r="D111" s="0" t="n">
        <v>6.3</v>
      </c>
      <c r="E111" s="3" t="n">
        <v>75</v>
      </c>
      <c r="F111" s="4" t="s">
        <v>22</v>
      </c>
    </row>
    <row r="112" customFormat="false" ht="15" hidden="false" customHeight="false" outlineLevel="0" collapsed="false">
      <c r="A112" s="2" t="n">
        <v>45410</v>
      </c>
      <c r="B112" s="4" t="s">
        <v>24</v>
      </c>
      <c r="C112" s="4" t="s">
        <v>104</v>
      </c>
      <c r="D112" s="0" t="n">
        <v>2.4</v>
      </c>
      <c r="E112" s="3" t="n">
        <v>75</v>
      </c>
      <c r="F112" s="4" t="s">
        <v>22</v>
      </c>
    </row>
    <row r="113" customFormat="false" ht="15" hidden="false" customHeight="false" outlineLevel="0" collapsed="false">
      <c r="A113" s="2" t="n">
        <v>45378</v>
      </c>
      <c r="B113" s="4" t="s">
        <v>59</v>
      </c>
      <c r="C113" s="4" t="s">
        <v>105</v>
      </c>
      <c r="D113" s="0" t="n">
        <v>3</v>
      </c>
      <c r="E113" s="3" t="n">
        <v>120</v>
      </c>
      <c r="F113" s="4" t="s">
        <v>16</v>
      </c>
    </row>
    <row r="114" customFormat="false" ht="15" hidden="false" customHeight="false" outlineLevel="0" collapsed="false">
      <c r="A114" s="2" t="n">
        <v>45468</v>
      </c>
      <c r="B114" s="4" t="s">
        <v>56</v>
      </c>
      <c r="C114" s="4" t="s">
        <v>105</v>
      </c>
      <c r="D114" s="0" t="n">
        <v>2.7</v>
      </c>
      <c r="E114" s="3" t="n">
        <v>120</v>
      </c>
      <c r="F114" s="4" t="s">
        <v>22</v>
      </c>
    </row>
    <row r="115" customFormat="false" ht="15" hidden="false" customHeight="false" outlineLevel="0" collapsed="false">
      <c r="A115" s="2" t="n">
        <v>45454</v>
      </c>
      <c r="B115" s="4" t="s">
        <v>24</v>
      </c>
      <c r="C115" s="4" t="s">
        <v>104</v>
      </c>
      <c r="D115" s="0" t="n">
        <v>6.7</v>
      </c>
      <c r="E115" s="3" t="n">
        <v>75</v>
      </c>
      <c r="F115" s="4" t="s">
        <v>22</v>
      </c>
    </row>
    <row r="116" customFormat="false" ht="15" hidden="false" customHeight="false" outlineLevel="0" collapsed="false">
      <c r="A116" s="2" t="n">
        <v>45411</v>
      </c>
      <c r="B116" s="4" t="s">
        <v>95</v>
      </c>
      <c r="C116" s="4" t="s">
        <v>107</v>
      </c>
      <c r="D116" s="0" t="n">
        <v>6.4</v>
      </c>
      <c r="E116" s="3" t="n">
        <v>110</v>
      </c>
      <c r="F116" s="4" t="s">
        <v>22</v>
      </c>
    </row>
    <row r="117" customFormat="false" ht="15" hidden="false" customHeight="false" outlineLevel="0" collapsed="false">
      <c r="A117" s="2" t="n">
        <v>45325</v>
      </c>
      <c r="B117" s="4" t="s">
        <v>70</v>
      </c>
      <c r="C117" s="4" t="s">
        <v>103</v>
      </c>
      <c r="D117" s="0" t="n">
        <v>0.6</v>
      </c>
      <c r="E117" s="3" t="n">
        <v>95</v>
      </c>
      <c r="F117" s="4" t="s">
        <v>22</v>
      </c>
    </row>
    <row r="118" customFormat="false" ht="15" hidden="false" customHeight="false" outlineLevel="0" collapsed="false">
      <c r="A118" s="2" t="n">
        <v>45330</v>
      </c>
      <c r="B118" s="4" t="s">
        <v>81</v>
      </c>
      <c r="C118" s="4" t="s">
        <v>103</v>
      </c>
      <c r="D118" s="0" t="n">
        <v>3</v>
      </c>
      <c r="E118" s="3" t="n">
        <v>95</v>
      </c>
      <c r="F118" s="4" t="s">
        <v>22</v>
      </c>
    </row>
    <row r="119" customFormat="false" ht="15" hidden="false" customHeight="false" outlineLevel="0" collapsed="false">
      <c r="A119" s="2" t="n">
        <v>45444</v>
      </c>
      <c r="B119" s="4" t="s">
        <v>24</v>
      </c>
      <c r="C119" s="4" t="s">
        <v>102</v>
      </c>
      <c r="D119" s="0" t="n">
        <v>2</v>
      </c>
      <c r="E119" s="3" t="n">
        <v>85</v>
      </c>
      <c r="F119" s="4" t="s">
        <v>16</v>
      </c>
    </row>
    <row r="120" customFormat="false" ht="15" hidden="false" customHeight="false" outlineLevel="0" collapsed="false">
      <c r="A120" s="2" t="n">
        <v>45308</v>
      </c>
      <c r="B120" s="4" t="s">
        <v>84</v>
      </c>
      <c r="C120" s="4" t="s">
        <v>104</v>
      </c>
      <c r="D120" s="0" t="n">
        <v>4.1</v>
      </c>
      <c r="E120" s="3" t="n">
        <v>120</v>
      </c>
      <c r="F120" s="4" t="s">
        <v>22</v>
      </c>
    </row>
    <row r="121" customFormat="false" ht="15" hidden="false" customHeight="false" outlineLevel="0" collapsed="false">
      <c r="A121" s="2" t="n">
        <v>45401</v>
      </c>
      <c r="B121" s="4" t="s">
        <v>28</v>
      </c>
      <c r="C121" s="4" t="s">
        <v>104</v>
      </c>
      <c r="D121" s="0" t="n">
        <v>2.5</v>
      </c>
      <c r="E121" s="3" t="n">
        <v>75</v>
      </c>
      <c r="F12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108</v>
      </c>
      <c r="B1" s="1" t="s">
        <v>109</v>
      </c>
      <c r="C1" s="1" t="s">
        <v>110</v>
      </c>
    </row>
    <row r="2" customFormat="false" ht="15" hidden="false" customHeight="false" outlineLevel="0" collapsed="false">
      <c r="A2" s="0" t="n">
        <v>1</v>
      </c>
      <c r="B2" s="0" t="s">
        <v>111</v>
      </c>
      <c r="C2" s="0" t="s">
        <v>112</v>
      </c>
    </row>
    <row r="3" customFormat="false" ht="15" hidden="false" customHeight="false" outlineLevel="0" collapsed="false">
      <c r="A3" s="0" t="n">
        <v>2</v>
      </c>
      <c r="B3" s="0" t="s">
        <v>113</v>
      </c>
      <c r="C3" s="0" t="s">
        <v>114</v>
      </c>
    </row>
    <row r="4" customFormat="false" ht="15" hidden="false" customHeight="false" outlineLevel="0" collapsed="false">
      <c r="A4" s="0" t="n">
        <v>3</v>
      </c>
      <c r="B4" s="0" t="s">
        <v>115</v>
      </c>
      <c r="C4" s="0" t="s">
        <v>116</v>
      </c>
    </row>
    <row r="5" customFormat="false" ht="15" hidden="false" customHeight="false" outlineLevel="0" collapsed="false">
      <c r="A5" s="0" t="n">
        <v>4</v>
      </c>
      <c r="B5" s="0" t="s">
        <v>117</v>
      </c>
      <c r="C5" s="0" t="s">
        <v>118</v>
      </c>
    </row>
    <row r="6" customFormat="false" ht="15" hidden="false" customHeight="false" outlineLevel="0" collapsed="false">
      <c r="A6" s="0" t="n">
        <v>5</v>
      </c>
      <c r="B6" s="0" t="s">
        <v>119</v>
      </c>
      <c r="C6" s="0" t="s">
        <v>120</v>
      </c>
    </row>
    <row r="7" customFormat="false" ht="15" hidden="false" customHeight="false" outlineLevel="0" collapsed="false">
      <c r="A7" s="0" t="n">
        <v>6</v>
      </c>
      <c r="B7" s="0" t="s">
        <v>121</v>
      </c>
      <c r="C7" s="0" t="s">
        <v>122</v>
      </c>
    </row>
    <row r="8" customFormat="false" ht="15" hidden="false" customHeight="false" outlineLevel="0" collapsed="false">
      <c r="A8" s="0" t="n">
        <v>7</v>
      </c>
      <c r="B8" s="0" t="s">
        <v>123</v>
      </c>
      <c r="C8" s="0" t="s">
        <v>124</v>
      </c>
    </row>
    <row r="9" customFormat="false" ht="15" hidden="false" customHeight="false" outlineLevel="0" collapsed="false">
      <c r="A9" s="0" t="n">
        <v>8</v>
      </c>
      <c r="B9" s="0" t="s">
        <v>125</v>
      </c>
      <c r="C9" s="0" t="s">
        <v>126</v>
      </c>
    </row>
    <row r="10" customFormat="false" ht="15" hidden="false" customHeight="false" outlineLevel="0" collapsed="false">
      <c r="A10" s="0" t="n">
        <v>9</v>
      </c>
      <c r="B10" s="0" t="s">
        <v>127</v>
      </c>
      <c r="C10" s="0" t="s">
        <v>128</v>
      </c>
    </row>
    <row r="11" customFormat="false" ht="15" hidden="false" customHeight="false" outlineLevel="0" collapsed="false">
      <c r="A11" s="0" t="n">
        <v>10</v>
      </c>
      <c r="B11" s="0" t="s">
        <v>129</v>
      </c>
      <c r="C11" s="0" t="s">
        <v>130</v>
      </c>
    </row>
    <row r="12" customFormat="false" ht="15" hidden="false" customHeight="false" outlineLevel="0" collapsed="false">
      <c r="A12" s="0" t="n">
        <v>11</v>
      </c>
      <c r="B12" s="0" t="s">
        <v>131</v>
      </c>
      <c r="C12" s="0" t="s">
        <v>132</v>
      </c>
    </row>
    <row r="13" customFormat="false" ht="15" hidden="false" customHeight="false" outlineLevel="0" collapsed="false">
      <c r="A13" s="0" t="n">
        <v>12</v>
      </c>
      <c r="B13" s="0" t="s">
        <v>133</v>
      </c>
      <c r="C13" s="0" t="s">
        <v>134</v>
      </c>
    </row>
    <row r="14" customFormat="false" ht="15" hidden="false" customHeight="false" outlineLevel="0" collapsed="false">
      <c r="A14" s="0" t="n">
        <v>13</v>
      </c>
      <c r="B14" s="0" t="s">
        <v>135</v>
      </c>
      <c r="C14" s="0" t="s">
        <v>136</v>
      </c>
    </row>
    <row r="15" customFormat="false" ht="15" hidden="false" customHeight="false" outlineLevel="0" collapsed="false">
      <c r="A15" s="0" t="n">
        <v>14</v>
      </c>
      <c r="B15" s="0" t="s">
        <v>137</v>
      </c>
      <c r="C15" s="0" t="s">
        <v>138</v>
      </c>
    </row>
    <row r="16" customFormat="false" ht="15" hidden="false" customHeight="false" outlineLevel="0" collapsed="false">
      <c r="A16" s="0" t="n">
        <v>15</v>
      </c>
      <c r="B16" s="0" t="s">
        <v>139</v>
      </c>
      <c r="C16" s="0" t="s">
        <v>140</v>
      </c>
    </row>
    <row r="17" customFormat="false" ht="15" hidden="false" customHeight="false" outlineLevel="0" collapsed="false">
      <c r="A17" s="0" t="n">
        <v>16</v>
      </c>
      <c r="B17" s="0" t="s">
        <v>141</v>
      </c>
      <c r="C17" s="0" t="s">
        <v>142</v>
      </c>
    </row>
    <row r="18" customFormat="false" ht="15" hidden="false" customHeight="false" outlineLevel="0" collapsed="false">
      <c r="A18" s="0" t="n">
        <v>17</v>
      </c>
      <c r="B18" s="0" t="s">
        <v>143</v>
      </c>
      <c r="C18" s="0" t="s">
        <v>144</v>
      </c>
    </row>
    <row r="19" customFormat="false" ht="15" hidden="false" customHeight="false" outlineLevel="0" collapsed="false">
      <c r="A19" s="0" t="n">
        <v>18</v>
      </c>
      <c r="B19" s="0" t="s">
        <v>145</v>
      </c>
      <c r="C19" s="0" t="s">
        <v>146</v>
      </c>
    </row>
    <row r="20" customFormat="false" ht="15" hidden="false" customHeight="false" outlineLevel="0" collapsed="false">
      <c r="A20" s="0" t="n">
        <v>19</v>
      </c>
      <c r="B20" s="0" t="s">
        <v>147</v>
      </c>
      <c r="C20" s="0" t="s">
        <v>148</v>
      </c>
    </row>
    <row r="21" customFormat="false" ht="15" hidden="false" customHeight="false" outlineLevel="0" collapsed="false">
      <c r="A21" s="0" t="n">
        <v>20</v>
      </c>
      <c r="B21" s="0" t="s">
        <v>149</v>
      </c>
      <c r="C21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108</v>
      </c>
      <c r="B1" s="5" t="s">
        <v>109</v>
      </c>
      <c r="C1" s="5" t="s">
        <v>151</v>
      </c>
      <c r="D1" s="5" t="s">
        <v>152</v>
      </c>
    </row>
    <row r="2" customFormat="false" ht="15" hidden="false" customHeight="false" outlineLevel="0" collapsed="false">
      <c r="A2" s="0" t="n">
        <v>1</v>
      </c>
      <c r="B2" s="0" t="s">
        <v>153</v>
      </c>
      <c r="C2" s="6" t="n">
        <f aca="false">COUNTIF(Mitarbeiter!J2:J26,"Ja")</f>
        <v>19</v>
      </c>
      <c r="D2" s="4" t="s">
        <v>154</v>
      </c>
    </row>
    <row r="3" customFormat="false" ht="15" hidden="false" customHeight="false" outlineLevel="0" collapsed="false">
      <c r="A3" s="0" t="n">
        <v>2</v>
      </c>
      <c r="B3" s="0" t="s">
        <v>155</v>
      </c>
      <c r="C3" s="7" t="n">
        <f aca="false">AVERAGEIF(Mitarbeiter!D2:D26,"IT",Mitarbeiter!H2:H26)</f>
        <v>77500</v>
      </c>
      <c r="D3" s="4" t="s">
        <v>156</v>
      </c>
    </row>
    <row r="4" customFormat="false" ht="15" hidden="false" customHeight="false" outlineLevel="0" collapsed="false">
      <c r="A4" s="0" t="n">
        <v>3</v>
      </c>
      <c r="B4" s="0" t="s">
        <v>157</v>
      </c>
      <c r="C4" s="7" t="n">
        <f aca="false">SUMIFS(Mitarbeiter!H2:H26,Mitarbeiter!J2:J26,"Ja",Mitarbeiter!E2:E26,"München")</f>
        <v>430000</v>
      </c>
      <c r="D4" s="4" t="s">
        <v>156</v>
      </c>
    </row>
    <row r="5" customFormat="false" ht="15" hidden="false" customHeight="false" outlineLevel="0" collapsed="false">
      <c r="A5" s="0" t="n">
        <v>4</v>
      </c>
      <c r="B5" s="0" t="s">
        <v>158</v>
      </c>
      <c r="C5" s="0" t="str">
        <f aca="false">INDEX(Mitarbeiter!B2:B26,MATCH(MIN(Mitarbeiter!F2:F26),Mitarbeiter!F2:F26,0))&amp;" "&amp;INDEX(Mitarbeiter!C2:C26,MATCH(MIN(Mitarbeiter!F2:F26),Mitarbeiter!F2:F26,0))</f>
        <v>Emma Koch</v>
      </c>
      <c r="D5" s="0" t="s">
        <v>159</v>
      </c>
    </row>
    <row r="6" customFormat="false" ht="15" hidden="false" customHeight="false" outlineLevel="0" collapsed="false">
      <c r="A6" s="0" t="n">
        <v>4</v>
      </c>
      <c r="B6" s="0" t="s">
        <v>160</v>
      </c>
      <c r="C6" s="2" t="n">
        <f aca="false">MIN(Mitarbeiter!F2:F26)</f>
        <v>42030</v>
      </c>
      <c r="D6" s="4" t="s">
        <v>97</v>
      </c>
    </row>
    <row r="7" customFormat="false" ht="15" hidden="false" customHeight="false" outlineLevel="0" collapsed="false">
      <c r="A7" s="0" t="n">
        <v>5</v>
      </c>
      <c r="B7" s="0" t="s">
        <v>161</v>
      </c>
      <c r="C7" s="6" t="n">
        <f aca="true">DATEDIF(Mitarbeiter!G2,TODAY(),"Y")</f>
        <v>55</v>
      </c>
      <c r="D7" s="4" t="s">
        <v>154</v>
      </c>
    </row>
    <row r="8" customFormat="false" ht="15" hidden="false" customHeight="false" outlineLevel="0" collapsed="false">
      <c r="A8" s="0" t="n">
        <v>6</v>
      </c>
      <c r="B8" s="0" t="s">
        <v>162</v>
      </c>
      <c r="C8" s="6" t="n">
        <f aca="true">DATEDIF(Mitarbeiter!F2,TODAY(),"Y")</f>
        <v>6</v>
      </c>
      <c r="D8" s="4" t="s">
        <v>154</v>
      </c>
    </row>
    <row r="9" customFormat="false" ht="15" hidden="false" customHeight="false" outlineLevel="0" collapsed="false">
      <c r="A9" s="0" t="n">
        <v>7</v>
      </c>
      <c r="B9" s="0" t="s">
        <v>163</v>
      </c>
      <c r="C9" s="7" t="n">
        <f aca="false">Mitarbeiter!H2/(Mitarbeiter!I2*52)</f>
        <v>34.6153846153846</v>
      </c>
      <c r="D9" s="4" t="s">
        <v>156</v>
      </c>
    </row>
    <row r="10" customFormat="false" ht="15" hidden="false" customHeight="false" outlineLevel="0" collapsed="false">
      <c r="A10" s="0" t="n">
        <v>8</v>
      </c>
      <c r="B10" s="0" t="s">
        <v>164</v>
      </c>
      <c r="C10" s="0" t="str">
        <f aca="false">Mitarbeiter!B2&amp;" "&amp;Mitarbeiter!C2</f>
        <v>Tim Schmidt</v>
      </c>
      <c r="D10" s="0" t="s">
        <v>159</v>
      </c>
    </row>
    <row r="11" customFormat="false" ht="15" hidden="false" customHeight="false" outlineLevel="0" collapsed="false">
      <c r="A11" s="0" t="n">
        <v>9</v>
      </c>
      <c r="B11" s="0" t="s">
        <v>165</v>
      </c>
      <c r="C11" s="0" t="str">
        <f aca="false">MID(Mitarbeiter!K2,FIND("@",Mitarbeiter!K2)+1,100)</f>
        <v>firma.de</v>
      </c>
      <c r="D11" s="0" t="s">
        <v>159</v>
      </c>
    </row>
    <row r="12" customFormat="false" ht="15" hidden="false" customHeight="false" outlineLevel="0" collapsed="false">
      <c r="A12" s="0" t="n">
        <v>10</v>
      </c>
      <c r="B12" s="0" t="s">
        <v>166</v>
      </c>
      <c r="C12" s="8" t="n">
        <f aca="false">SUMIF(Zeiterfassung!F2:F121,"Ja",Zeiterfassung!D2:D121)</f>
        <v>347.2</v>
      </c>
      <c r="D12" s="4" t="s">
        <v>167</v>
      </c>
    </row>
    <row r="13" customFormat="false" ht="15" hidden="false" customHeight="false" outlineLevel="0" collapsed="false">
      <c r="A13" s="0" t="n">
        <v>11</v>
      </c>
      <c r="B13" s="0" t="s">
        <v>168</v>
      </c>
      <c r="C13" s="7" t="n">
        <f aca="false">SUMPRODUCT((Zeiterfassung!C2:C121="Support")*(Zeiterfassung!F2:F121="Ja")*Zeiterfassung!D2:D121*Zeiterfassung!E2:E121)</f>
        <v>7425.5</v>
      </c>
      <c r="D13" s="4" t="s">
        <v>156</v>
      </c>
    </row>
    <row r="14" customFormat="false" ht="15" hidden="false" customHeight="false" outlineLevel="0" collapsed="false">
      <c r="A14" s="0" t="n">
        <v>12</v>
      </c>
      <c r="B14" s="0" t="s">
        <v>169</v>
      </c>
      <c r="C14" s="0" t="str">
        <f aca="false">VLOOKUP(Zeiterfassung!B2,Mitarbeiter!A2:C26,2,FALSE())&amp;" "&amp;VLOOKUP(Zeiterfassung!B2,Mitarbeiter!A2:C26,3,FALSE())</f>
        <v>Paul Hoffmann</v>
      </c>
      <c r="D14" s="0" t="s">
        <v>159</v>
      </c>
    </row>
    <row r="15" customFormat="false" ht="15" hidden="false" customHeight="false" outlineLevel="0" collapsed="false">
      <c r="A15" s="0" t="n">
        <v>13</v>
      </c>
      <c r="B15" s="0" t="s">
        <v>170</v>
      </c>
      <c r="C15" s="7" t="n">
        <f aca="false">SUMIF(Mitarbeiter!D2:D26,"Vertrieb",Mitarbeiter!H2:H26)</f>
        <v>285000</v>
      </c>
      <c r="D15" s="4" t="s">
        <v>156</v>
      </c>
    </row>
    <row r="16" customFormat="false" ht="15" hidden="false" customHeight="false" outlineLevel="0" collapsed="false">
      <c r="A16" s="0" t="n">
        <v>13</v>
      </c>
      <c r="B16" s="0" t="s">
        <v>171</v>
      </c>
      <c r="C16" s="7" t="n">
        <f aca="false">SUMIF(Mitarbeiter!D2:D26,"IT",Mitarbeiter!H2:H26)</f>
        <v>620000</v>
      </c>
      <c r="D16" s="4" t="s">
        <v>156</v>
      </c>
    </row>
    <row r="17" customFormat="false" ht="15" hidden="false" customHeight="false" outlineLevel="0" collapsed="false">
      <c r="A17" s="0" t="n">
        <v>13</v>
      </c>
      <c r="B17" s="0" t="s">
        <v>172</v>
      </c>
      <c r="C17" s="7" t="n">
        <f aca="false">SUMIF(Mitarbeiter!D2:D26,"Marketing",Mitarbeiter!H2:H26)</f>
        <v>151000</v>
      </c>
      <c r="D17" s="4" t="s">
        <v>156</v>
      </c>
    </row>
    <row r="18" customFormat="false" ht="15" hidden="false" customHeight="false" outlineLevel="0" collapsed="false">
      <c r="A18" s="0" t="n">
        <v>13</v>
      </c>
      <c r="B18" s="0" t="s">
        <v>173</v>
      </c>
      <c r="C18" s="7" t="n">
        <f aca="false">SUMIF(Mitarbeiter!D2:D26,"Finanzen",Mitarbeiter!H2:H26)</f>
        <v>272000</v>
      </c>
      <c r="D18" s="4" t="s">
        <v>156</v>
      </c>
    </row>
    <row r="19" customFormat="false" ht="15" hidden="false" customHeight="false" outlineLevel="0" collapsed="false">
      <c r="A19" s="0" t="n">
        <v>13</v>
      </c>
      <c r="B19" s="0" t="s">
        <v>174</v>
      </c>
      <c r="C19" s="7" t="n">
        <f aca="false">SUMIF(Mitarbeiter!D2:D26,"Personal",Mitarbeiter!H2:H26)</f>
        <v>266000</v>
      </c>
      <c r="D19" s="4" t="s">
        <v>156</v>
      </c>
    </row>
    <row r="20" customFormat="false" ht="15" hidden="false" customHeight="false" outlineLevel="0" collapsed="false">
      <c r="A20" s="0" t="n">
        <v>14</v>
      </c>
      <c r="B20" s="0" t="s">
        <v>175</v>
      </c>
      <c r="C20" s="6" t="n">
        <f aca="false">RANK(Mitarbeiter!H2,Mitarbeiter!H2:H26,0)</f>
        <v>6</v>
      </c>
      <c r="D20" s="4" t="s">
        <v>154</v>
      </c>
    </row>
    <row r="21" customFormat="false" ht="15" hidden="false" customHeight="false" outlineLevel="0" collapsed="false">
      <c r="A21" s="0" t="n">
        <v>15</v>
      </c>
      <c r="B21" s="0" t="s">
        <v>176</v>
      </c>
      <c r="C21" s="7" t="n">
        <f aca="false">MEDIAN(Mitarbeiter!H2:H26)</f>
        <v>61000</v>
      </c>
      <c r="D21" s="4" t="s">
        <v>156</v>
      </c>
    </row>
    <row r="22" customFormat="false" ht="15" hidden="false" customHeight="false" outlineLevel="0" collapsed="false">
      <c r="A22" s="0" t="n">
        <v>15</v>
      </c>
      <c r="B22" s="0" t="s">
        <v>177</v>
      </c>
      <c r="C22" s="7" t="n">
        <f aca="false">PERCENTILE(Mitarbeiter!H2:H26,0.9)</f>
        <v>90400</v>
      </c>
      <c r="D22" s="4" t="s">
        <v>156</v>
      </c>
    </row>
    <row r="23" customFormat="false" ht="15" hidden="false" customHeight="false" outlineLevel="0" collapsed="false">
      <c r="A23" s="0" t="n">
        <v>16</v>
      </c>
      <c r="B23" s="0" t="s">
        <v>178</v>
      </c>
      <c r="C23" s="0" t="str">
        <f aca="false">IF(Mitarbeiter!H2&lt;50000,"niedrig",IF(Mitarbeiter!H2&lt;=70000,"mittel","hoch"))</f>
        <v>hoch</v>
      </c>
      <c r="D23" s="0" t="s">
        <v>159</v>
      </c>
    </row>
    <row r="24" customFormat="false" ht="15" hidden="false" customHeight="false" outlineLevel="0" collapsed="false">
      <c r="A24" s="0" t="n">
        <v>17</v>
      </c>
      <c r="B24" s="0" t="s">
        <v>179</v>
      </c>
      <c r="C24" s="6" t="n">
        <f aca="false">SUMPRODUCT((COUNTIF(Mitarbeiter!K2:K26,Mitarbeiter!K2:K26)&gt;1)*1)</f>
        <v>2</v>
      </c>
      <c r="D24" s="4" t="s">
        <v>154</v>
      </c>
    </row>
    <row r="25" customFormat="false" ht="15" hidden="false" customHeight="false" outlineLevel="0" collapsed="false">
      <c r="A25" s="0" t="n">
        <v>18</v>
      </c>
      <c r="B25" s="0" t="s">
        <v>180</v>
      </c>
      <c r="C25" s="6" t="n">
        <f aca="false">SUMPRODUCT((WEEKDAY(Zeiterfassung!A2:A121,2)&gt;5)*1)</f>
        <v>28</v>
      </c>
      <c r="D25" s="4" t="s">
        <v>154</v>
      </c>
    </row>
    <row r="26" customFormat="false" ht="15" hidden="false" customHeight="false" outlineLevel="0" collapsed="false">
      <c r="A26" s="0" t="n">
        <v>19</v>
      </c>
      <c r="B26" s="0" t="s">
        <v>181</v>
      </c>
      <c r="C26" s="7" t="n">
        <f aca="false">SUMPRODUCT((MONTH(Zeiterfassung!A2:A121)=1)*(Zeiterfassung!F2:F121="Ja")*Zeiterfassung!D2:D121*Zeiterfassung!E2:E121)</f>
        <v>6142.5</v>
      </c>
      <c r="D26" s="4" t="s">
        <v>156</v>
      </c>
    </row>
    <row r="27" customFormat="false" ht="15" hidden="false" customHeight="false" outlineLevel="0" collapsed="false">
      <c r="A27" s="0" t="n">
        <v>20</v>
      </c>
      <c r="B27" s="0" t="s">
        <v>182</v>
      </c>
      <c r="C27" s="7" t="n">
        <f aca="false">SUMIF(Mitarbeiter!J2:J26,"Ja",Mitarbeiter!H2:H26)*1.03</f>
        <v>1293680</v>
      </c>
      <c r="D27" s="4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2026-07-03T00:37:47Z</dcterms:created>
  <dc:creator>openpyxl</dc:creator>
  <dc:description/>
  <dc:language>en-US</dc:language>
  <cp:lastModifiedBy/>
  <dcterms:modified xsi:type="dcterms:W3CDTF">2026-07-03T00:38:12Z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