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Verkaufsdaten" sheetId="1" state="visible" r:id="rId3"/>
    <sheet name="Testaufgaben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<sst xmlns="http://schemas.openxmlformats.org/spreadsheetml/2006/main" count="340" uniqueCount="120">
  <si>
    <t xml:space="preserve">ID</t>
  </si>
  <si>
    <t xml:space="preserve">Datum</t>
  </si>
  <si>
    <t xml:space="preserve">Region</t>
  </si>
  <si>
    <t xml:space="preserve">Produkt</t>
  </si>
  <si>
    <t xml:space="preserve">Kategorie</t>
  </si>
  <si>
    <t xml:space="preserve">Verkäufer</t>
  </si>
  <si>
    <t xml:space="preserve">Menge</t>
  </si>
  <si>
    <t xml:space="preserve">Einzelpreis</t>
  </si>
  <si>
    <t xml:space="preserve">Umsatz</t>
  </si>
  <si>
    <t xml:space="preserve">Kosten</t>
  </si>
  <si>
    <t xml:space="preserve">Gewinn</t>
  </si>
  <si>
    <t xml:space="preserve">Rabatt %</t>
  </si>
  <si>
    <t xml:space="preserve">A1001</t>
  </si>
  <si>
    <t xml:space="preserve">Süd</t>
  </si>
  <si>
    <t xml:space="preserve">Maus</t>
  </si>
  <si>
    <t xml:space="preserve">Zubehör</t>
  </si>
  <si>
    <t xml:space="preserve">Ben</t>
  </si>
  <si>
    <t xml:space="preserve">A1002</t>
  </si>
  <si>
    <t xml:space="preserve">Nord</t>
  </si>
  <si>
    <t xml:space="preserve">A1003</t>
  </si>
  <si>
    <t xml:space="preserve">Ost</t>
  </si>
  <si>
    <t xml:space="preserve">Laptop</t>
  </si>
  <si>
    <t xml:space="preserve">Elektronik</t>
  </si>
  <si>
    <t xml:space="preserve">A1004</t>
  </si>
  <si>
    <t xml:space="preserve">Drucker</t>
  </si>
  <si>
    <t xml:space="preserve">Clara</t>
  </si>
  <si>
    <t xml:space="preserve">A1005</t>
  </si>
  <si>
    <t xml:space="preserve">Tastatur</t>
  </si>
  <si>
    <t xml:space="preserve">Anna</t>
  </si>
  <si>
    <t xml:space="preserve">A1006</t>
  </si>
  <si>
    <t xml:space="preserve">West</t>
  </si>
  <si>
    <t xml:space="preserve">A1007</t>
  </si>
  <si>
    <t xml:space="preserve">Emma</t>
  </si>
  <si>
    <t xml:space="preserve">A1008</t>
  </si>
  <si>
    <t xml:space="preserve">A1009</t>
  </si>
  <si>
    <t xml:space="preserve">Headset</t>
  </si>
  <si>
    <t xml:space="preserve">A1010</t>
  </si>
  <si>
    <t xml:space="preserve">Monitor</t>
  </si>
  <si>
    <t xml:space="preserve">A1011</t>
  </si>
  <si>
    <t xml:space="preserve">David</t>
  </si>
  <si>
    <t xml:space="preserve">A1012</t>
  </si>
  <si>
    <t xml:space="preserve">A1013</t>
  </si>
  <si>
    <t xml:space="preserve">A1014</t>
  </si>
  <si>
    <t xml:space="preserve">Tablet</t>
  </si>
  <si>
    <t xml:space="preserve">A1015</t>
  </si>
  <si>
    <t xml:space="preserve">Felix</t>
  </si>
  <si>
    <t xml:space="preserve">A1016</t>
  </si>
  <si>
    <t xml:space="preserve">A1017</t>
  </si>
  <si>
    <t xml:space="preserve">A1018</t>
  </si>
  <si>
    <t xml:space="preserve">A1019</t>
  </si>
  <si>
    <t xml:space="preserve">A1020</t>
  </si>
  <si>
    <t xml:space="preserve">A1021</t>
  </si>
  <si>
    <t xml:space="preserve">A1022</t>
  </si>
  <si>
    <t xml:space="preserve">A1023</t>
  </si>
  <si>
    <t xml:space="preserve">A1024</t>
  </si>
  <si>
    <t xml:space="preserve">A1025</t>
  </si>
  <si>
    <t xml:space="preserve">A1026</t>
  </si>
  <si>
    <t xml:space="preserve">A1027</t>
  </si>
  <si>
    <t xml:space="preserve">A1028</t>
  </si>
  <si>
    <t xml:space="preserve">A1029</t>
  </si>
  <si>
    <t xml:space="preserve">A1030</t>
  </si>
  <si>
    <t xml:space="preserve">Webcam</t>
  </si>
  <si>
    <t xml:space="preserve">A1031</t>
  </si>
  <si>
    <t xml:space="preserve">A1032</t>
  </si>
  <si>
    <t xml:space="preserve">A1033</t>
  </si>
  <si>
    <t xml:space="preserve">A1034</t>
  </si>
  <si>
    <t xml:space="preserve">A1035</t>
  </si>
  <si>
    <t xml:space="preserve">A1036</t>
  </si>
  <si>
    <t xml:space="preserve">A1037</t>
  </si>
  <si>
    <t xml:space="preserve">A1038</t>
  </si>
  <si>
    <t xml:space="preserve">A1039</t>
  </si>
  <si>
    <t xml:space="preserve">A1040</t>
  </si>
  <si>
    <t xml:space="preserve">A1041</t>
  </si>
  <si>
    <t xml:space="preserve">A1042</t>
  </si>
  <si>
    <t xml:space="preserve">A1043</t>
  </si>
  <si>
    <t xml:space="preserve">A1044</t>
  </si>
  <si>
    <t xml:space="preserve">A1045</t>
  </si>
  <si>
    <t xml:space="preserve">A1046</t>
  </si>
  <si>
    <t xml:space="preserve">A1047</t>
  </si>
  <si>
    <t xml:space="preserve">A1048</t>
  </si>
  <si>
    <t xml:space="preserve">A1049</t>
  </si>
  <si>
    <t xml:space="preserve">A1050</t>
  </si>
  <si>
    <t xml:space="preserve">A1051</t>
  </si>
  <si>
    <t xml:space="preserve">A1052</t>
  </si>
  <si>
    <t xml:space="preserve">A1053</t>
  </si>
  <si>
    <t xml:space="preserve">A1054</t>
  </si>
  <si>
    <t xml:space="preserve">A1055</t>
  </si>
  <si>
    <t xml:space="preserve">A1056</t>
  </si>
  <si>
    <t xml:space="preserve">A1057</t>
  </si>
  <si>
    <t xml:space="preserve">A1058</t>
  </si>
  <si>
    <t xml:space="preserve">A1059</t>
  </si>
  <si>
    <t xml:space="preserve">A1060</t>
  </si>
  <si>
    <t xml:space="preserve">GESAMT:</t>
  </si>
  <si>
    <t xml:space="preserve">#</t>
  </si>
  <si>
    <t xml:space="preserve">Was du ChatGPT fragen kannst</t>
  </si>
  <si>
    <t xml:space="preserve">Getestete Fähigkeit</t>
  </si>
  <si>
    <t xml:space="preserve">Wie hoch ist der Gesamtumsatz?</t>
  </si>
  <si>
    <t xml:space="preserve">SUMME / Aggregation</t>
  </si>
  <si>
    <t xml:space="preserve">Welches Produkt hat den höchsten Gewinn?</t>
  </si>
  <si>
    <t xml:space="preserve">MAX + Gruppierung</t>
  </si>
  <si>
    <t xml:space="preserve">Durchschnittlicher Umsatz pro Region?</t>
  </si>
  <si>
    <t xml:space="preserve">Mittelwert nach Kategorie</t>
  </si>
  <si>
    <t xml:space="preserve">Erstelle eine Pivot-Tabelle: Umsatz pro Verkäufer</t>
  </si>
  <si>
    <t xml:space="preserve">Pivot</t>
  </si>
  <si>
    <t xml:space="preserve">Welcher Verkäufer verkauft am meisten?</t>
  </si>
  <si>
    <t xml:space="preserve">Ranking / SORTIEREN</t>
  </si>
  <si>
    <t xml:space="preserve">Umsatz nur für Region 'Nord' summieren</t>
  </si>
  <si>
    <t xml:space="preserve">SUMMEWENN / Filter</t>
  </si>
  <si>
    <t xml:space="preserve">Wie viele Verkäufe hatten Rabatt?</t>
  </si>
  <si>
    <t xml:space="preserve">ZÄHLENWENN</t>
  </si>
  <si>
    <t xml:space="preserve">Zeige den Umsatz pro Monat</t>
  </si>
  <si>
    <t xml:space="preserve">Datum gruppieren</t>
  </si>
  <si>
    <t xml:space="preserve">Erstelle ein Balkendiagramm Umsatz je Kategorie</t>
  </si>
  <si>
    <t xml:space="preserve">Diagramm</t>
  </si>
  <si>
    <t xml:space="preserve">Berechne die Gewinnmarge in %</t>
  </si>
  <si>
    <t xml:space="preserve">Formel / neue Spalte</t>
  </si>
  <si>
    <t xml:space="preserve">Finde Ausreißer beim Einzelpreis</t>
  </si>
  <si>
    <t xml:space="preserve">Statistik / Ausreißer</t>
  </si>
  <si>
    <t xml:space="preserve">Prognostiziere den Umsatz Q1 2025</t>
  </si>
  <si>
    <t xml:space="preserve">Trend / Forecast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</si>
</sst>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dd\.mm\.yyyy"/>
    <numFmt numFmtId="166" formatCode="#,##0.00&quot; €&quot;"/>
    <numFmt numFmtId="167" formatCode="0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b val="true"/>
      <sz val="11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7A3D"/>
        <bgColor rgb="FF00808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1F7A3D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6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12"/>
    <col collapsed="false" customWidth="true" hidden="false" outlineLevel="0" max="3" min="3" style="0" width="8"/>
    <col collapsed="false" customWidth="true" hidden="false" outlineLevel="0" max="6" min="4" style="0" width="12"/>
    <col collapsed="false" customWidth="true" hidden="false" outlineLevel="0" max="7" min="7" style="0" width="8"/>
    <col collapsed="false" customWidth="true" hidden="false" outlineLevel="0" max="8" min="8" style="0" width="12"/>
    <col collapsed="false" customWidth="true" hidden="false" outlineLevel="0" max="11" min="9" style="0" width="14"/>
    <col collapsed="false" customWidth="true" hidden="false" outlineLevel="0" max="12" min="12" style="0" width="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customFormat="false" ht="15" hidden="false" customHeight="false" outlineLevel="0" collapsed="false">
      <c r="A2" s="0" t="s">
        <v>12</v>
      </c>
      <c r="B2" s="2" t="n">
        <v>45619</v>
      </c>
      <c r="C2" s="3" t="s">
        <v>13</v>
      </c>
      <c r="D2" s="3" t="s">
        <v>14</v>
      </c>
      <c r="E2" s="3" t="s">
        <v>15</v>
      </c>
      <c r="F2" s="3" t="s">
        <v>16</v>
      </c>
      <c r="G2" s="0" t="n">
        <v>1</v>
      </c>
      <c r="H2" s="4" t="n">
        <v>26.53</v>
      </c>
      <c r="I2" s="4" t="n">
        <f aca="false">G2*H2*(1-L2/100)</f>
        <v>26.53</v>
      </c>
      <c r="J2" s="4" t="n">
        <f aca="false">G2*H2*0.6</f>
        <v>15.918</v>
      </c>
      <c r="K2" s="4" t="n">
        <f aca="false">I2-J2</f>
        <v>10.612</v>
      </c>
      <c r="L2" s="5" t="n">
        <v>0</v>
      </c>
    </row>
    <row r="3" customFormat="false" ht="15" hidden="false" customHeight="false" outlineLevel="0" collapsed="false">
      <c r="A3" s="0" t="s">
        <v>17</v>
      </c>
      <c r="B3" s="2" t="n">
        <v>45344</v>
      </c>
      <c r="C3" s="3" t="s">
        <v>18</v>
      </c>
      <c r="D3" s="3" t="s">
        <v>14</v>
      </c>
      <c r="E3" s="3" t="s">
        <v>15</v>
      </c>
      <c r="F3" s="3" t="s">
        <v>16</v>
      </c>
      <c r="G3" s="0" t="n">
        <v>19</v>
      </c>
      <c r="H3" s="4" t="n">
        <v>25.33</v>
      </c>
      <c r="I3" s="4" t="n">
        <f aca="false">G3*H3*(1-L3/100)</f>
        <v>481.27</v>
      </c>
      <c r="J3" s="4" t="n">
        <f aca="false">G3*H3*0.6</f>
        <v>288.762</v>
      </c>
      <c r="K3" s="4" t="n">
        <f aca="false">I3-J3</f>
        <v>192.508</v>
      </c>
      <c r="L3" s="5" t="n">
        <v>0</v>
      </c>
    </row>
    <row r="4" customFormat="false" ht="15" hidden="false" customHeight="false" outlineLevel="0" collapsed="false">
      <c r="A4" s="0" t="s">
        <v>19</v>
      </c>
      <c r="B4" s="2" t="n">
        <v>45411</v>
      </c>
      <c r="C4" s="3" t="s">
        <v>20</v>
      </c>
      <c r="D4" s="3" t="s">
        <v>21</v>
      </c>
      <c r="E4" s="3" t="s">
        <v>22</v>
      </c>
      <c r="F4" s="3" t="s">
        <v>16</v>
      </c>
      <c r="G4" s="0" t="n">
        <v>18</v>
      </c>
      <c r="H4" s="4" t="n">
        <v>880.86</v>
      </c>
      <c r="I4" s="4" t="n">
        <f aca="false">G4*H4*(1-L4/100)</f>
        <v>13477.158</v>
      </c>
      <c r="J4" s="4" t="n">
        <f aca="false">G4*H4*0.6</f>
        <v>9513.288</v>
      </c>
      <c r="K4" s="4" t="n">
        <f aca="false">I4-J4</f>
        <v>3963.87</v>
      </c>
      <c r="L4" s="5" t="n">
        <v>15</v>
      </c>
    </row>
    <row r="5" customFormat="false" ht="15" hidden="false" customHeight="false" outlineLevel="0" collapsed="false">
      <c r="A5" s="0" t="s">
        <v>23</v>
      </c>
      <c r="B5" s="2" t="n">
        <v>45521</v>
      </c>
      <c r="C5" s="3" t="s">
        <v>20</v>
      </c>
      <c r="D5" s="3" t="s">
        <v>24</v>
      </c>
      <c r="E5" s="3" t="s">
        <v>22</v>
      </c>
      <c r="F5" s="3" t="s">
        <v>25</v>
      </c>
      <c r="G5" s="0" t="n">
        <v>1</v>
      </c>
      <c r="H5" s="4" t="n">
        <v>190.42</v>
      </c>
      <c r="I5" s="4" t="n">
        <f aca="false">G5*H5*(1-L5/100)</f>
        <v>190.42</v>
      </c>
      <c r="J5" s="4" t="n">
        <f aca="false">G5*H5*0.6</f>
        <v>114.252</v>
      </c>
      <c r="K5" s="4" t="n">
        <f aca="false">I5-J5</f>
        <v>76.168</v>
      </c>
      <c r="L5" s="5" t="n">
        <v>0</v>
      </c>
    </row>
    <row r="6" customFormat="false" ht="15" hidden="false" customHeight="false" outlineLevel="0" collapsed="false">
      <c r="A6" s="0" t="s">
        <v>26</v>
      </c>
      <c r="B6" s="2" t="n">
        <v>45434</v>
      </c>
      <c r="C6" s="3" t="s">
        <v>18</v>
      </c>
      <c r="D6" s="3" t="s">
        <v>27</v>
      </c>
      <c r="E6" s="3" t="s">
        <v>15</v>
      </c>
      <c r="F6" s="3" t="s">
        <v>28</v>
      </c>
      <c r="G6" s="0" t="n">
        <v>7</v>
      </c>
      <c r="H6" s="4" t="n">
        <v>71.08</v>
      </c>
      <c r="I6" s="4" t="n">
        <f aca="false">G6*H6*(1-L6/100)</f>
        <v>497.56</v>
      </c>
      <c r="J6" s="4" t="n">
        <f aca="false">G6*H6*0.6</f>
        <v>298.536</v>
      </c>
      <c r="K6" s="4" t="n">
        <f aca="false">I6-J6</f>
        <v>199.024</v>
      </c>
      <c r="L6" s="5" t="n">
        <v>0</v>
      </c>
    </row>
    <row r="7" customFormat="false" ht="15" hidden="false" customHeight="false" outlineLevel="0" collapsed="false">
      <c r="A7" s="0" t="s">
        <v>29</v>
      </c>
      <c r="B7" s="2" t="n">
        <v>45486</v>
      </c>
      <c r="C7" s="3" t="s">
        <v>30</v>
      </c>
      <c r="D7" s="3" t="s">
        <v>14</v>
      </c>
      <c r="E7" s="3" t="s">
        <v>15</v>
      </c>
      <c r="F7" s="3" t="s">
        <v>28</v>
      </c>
      <c r="G7" s="0" t="n">
        <v>12</v>
      </c>
      <c r="H7" s="4" t="n">
        <v>26.93</v>
      </c>
      <c r="I7" s="4" t="n">
        <f aca="false">G7*H7*(1-L7/100)</f>
        <v>290.844</v>
      </c>
      <c r="J7" s="4" t="n">
        <f aca="false">G7*H7*0.6</f>
        <v>193.896</v>
      </c>
      <c r="K7" s="4" t="n">
        <f aca="false">I7-J7</f>
        <v>96.948</v>
      </c>
      <c r="L7" s="5" t="n">
        <v>10</v>
      </c>
    </row>
    <row r="8" customFormat="false" ht="15" hidden="false" customHeight="false" outlineLevel="0" collapsed="false">
      <c r="A8" s="0" t="s">
        <v>31</v>
      </c>
      <c r="B8" s="2" t="n">
        <v>45527</v>
      </c>
      <c r="C8" s="3" t="s">
        <v>30</v>
      </c>
      <c r="D8" s="3" t="s">
        <v>14</v>
      </c>
      <c r="E8" s="3" t="s">
        <v>15</v>
      </c>
      <c r="F8" s="3" t="s">
        <v>32</v>
      </c>
      <c r="G8" s="0" t="n">
        <v>13</v>
      </c>
      <c r="H8" s="4" t="n">
        <v>24.05</v>
      </c>
      <c r="I8" s="4" t="n">
        <f aca="false">G8*H8*(1-L8/100)</f>
        <v>312.65</v>
      </c>
      <c r="J8" s="4" t="n">
        <f aca="false">G8*H8*0.6</f>
        <v>187.59</v>
      </c>
      <c r="K8" s="4" t="n">
        <f aca="false">I8-J8</f>
        <v>125.06</v>
      </c>
      <c r="L8" s="5" t="n">
        <v>0</v>
      </c>
    </row>
    <row r="9" customFormat="false" ht="15" hidden="false" customHeight="false" outlineLevel="0" collapsed="false">
      <c r="A9" s="0" t="s">
        <v>33</v>
      </c>
      <c r="B9" s="2" t="n">
        <v>45390</v>
      </c>
      <c r="C9" s="3" t="s">
        <v>18</v>
      </c>
      <c r="D9" s="3" t="s">
        <v>14</v>
      </c>
      <c r="E9" s="3" t="s">
        <v>15</v>
      </c>
      <c r="F9" s="3" t="s">
        <v>16</v>
      </c>
      <c r="G9" s="0" t="n">
        <v>2</v>
      </c>
      <c r="H9" s="4" t="n">
        <v>26.23</v>
      </c>
      <c r="I9" s="4" t="n">
        <f aca="false">G9*H9*(1-L9/100)</f>
        <v>52.46</v>
      </c>
      <c r="J9" s="4" t="n">
        <f aca="false">G9*H9*0.6</f>
        <v>31.476</v>
      </c>
      <c r="K9" s="4" t="n">
        <f aca="false">I9-J9</f>
        <v>20.984</v>
      </c>
      <c r="L9" s="5" t="n">
        <v>0</v>
      </c>
    </row>
    <row r="10" customFormat="false" ht="15" hidden="false" customHeight="false" outlineLevel="0" collapsed="false">
      <c r="A10" s="0" t="s">
        <v>34</v>
      </c>
      <c r="B10" s="2" t="n">
        <v>45343</v>
      </c>
      <c r="C10" s="3" t="s">
        <v>13</v>
      </c>
      <c r="D10" s="3" t="s">
        <v>35</v>
      </c>
      <c r="E10" s="3" t="s">
        <v>15</v>
      </c>
      <c r="F10" s="3" t="s">
        <v>25</v>
      </c>
      <c r="G10" s="0" t="n">
        <v>9</v>
      </c>
      <c r="H10" s="4" t="n">
        <v>90.6</v>
      </c>
      <c r="I10" s="4" t="n">
        <f aca="false">G10*H10*(1-L10/100)</f>
        <v>815.4</v>
      </c>
      <c r="J10" s="4" t="n">
        <f aca="false">G10*H10*0.6</f>
        <v>489.24</v>
      </c>
      <c r="K10" s="4" t="n">
        <f aca="false">I10-J10</f>
        <v>326.16</v>
      </c>
      <c r="L10" s="5" t="n">
        <v>0</v>
      </c>
    </row>
    <row r="11" customFormat="false" ht="15" hidden="false" customHeight="false" outlineLevel="0" collapsed="false">
      <c r="A11" s="0" t="s">
        <v>36</v>
      </c>
      <c r="B11" s="2" t="n">
        <v>45473</v>
      </c>
      <c r="C11" s="3" t="s">
        <v>18</v>
      </c>
      <c r="D11" s="3" t="s">
        <v>37</v>
      </c>
      <c r="E11" s="3" t="s">
        <v>22</v>
      </c>
      <c r="F11" s="3" t="s">
        <v>32</v>
      </c>
      <c r="G11" s="0" t="n">
        <v>9</v>
      </c>
      <c r="H11" s="4" t="n">
        <v>262.76</v>
      </c>
      <c r="I11" s="4" t="n">
        <f aca="false">G11*H11*(1-L11/100)</f>
        <v>2010.114</v>
      </c>
      <c r="J11" s="4" t="n">
        <f aca="false">G11*H11*0.6</f>
        <v>1418.904</v>
      </c>
      <c r="K11" s="4" t="n">
        <f aca="false">I11-J11</f>
        <v>591.21</v>
      </c>
      <c r="L11" s="5" t="n">
        <v>15</v>
      </c>
    </row>
    <row r="12" customFormat="false" ht="15" hidden="false" customHeight="false" outlineLevel="0" collapsed="false">
      <c r="A12" s="0" t="s">
        <v>38</v>
      </c>
      <c r="B12" s="2" t="n">
        <v>45617</v>
      </c>
      <c r="C12" s="3" t="s">
        <v>20</v>
      </c>
      <c r="D12" s="3" t="s">
        <v>27</v>
      </c>
      <c r="E12" s="3" t="s">
        <v>15</v>
      </c>
      <c r="F12" s="3" t="s">
        <v>39</v>
      </c>
      <c r="G12" s="0" t="n">
        <v>18</v>
      </c>
      <c r="H12" s="4" t="n">
        <v>68.86</v>
      </c>
      <c r="I12" s="4" t="n">
        <f aca="false">G12*H12*(1-L12/100)</f>
        <v>1239.48</v>
      </c>
      <c r="J12" s="4" t="n">
        <f aca="false">G12*H12*0.6</f>
        <v>743.688</v>
      </c>
      <c r="K12" s="4" t="n">
        <f aca="false">I12-J12</f>
        <v>495.792</v>
      </c>
      <c r="L12" s="5" t="n">
        <v>0</v>
      </c>
    </row>
    <row r="13" customFormat="false" ht="15" hidden="false" customHeight="false" outlineLevel="0" collapsed="false">
      <c r="A13" s="0" t="s">
        <v>40</v>
      </c>
      <c r="B13" s="2" t="n">
        <v>45430</v>
      </c>
      <c r="C13" s="3" t="s">
        <v>13</v>
      </c>
      <c r="D13" s="3" t="s">
        <v>37</v>
      </c>
      <c r="E13" s="3" t="s">
        <v>22</v>
      </c>
      <c r="F13" s="3" t="s">
        <v>28</v>
      </c>
      <c r="G13" s="0" t="n">
        <v>11</v>
      </c>
      <c r="H13" s="4" t="n">
        <v>268.03</v>
      </c>
      <c r="I13" s="4" t="n">
        <f aca="false">G13*H13*(1-L13/100)</f>
        <v>2948.33</v>
      </c>
      <c r="J13" s="4" t="n">
        <f aca="false">G13*H13*0.6</f>
        <v>1768.998</v>
      </c>
      <c r="K13" s="4" t="n">
        <f aca="false">I13-J13</f>
        <v>1179.332</v>
      </c>
      <c r="L13" s="5" t="n">
        <v>0</v>
      </c>
    </row>
    <row r="14" customFormat="false" ht="15" hidden="false" customHeight="false" outlineLevel="0" collapsed="false">
      <c r="A14" s="0" t="s">
        <v>41</v>
      </c>
      <c r="B14" s="2" t="n">
        <v>45453</v>
      </c>
      <c r="C14" s="3" t="s">
        <v>30</v>
      </c>
      <c r="D14" s="3" t="s">
        <v>35</v>
      </c>
      <c r="E14" s="3" t="s">
        <v>15</v>
      </c>
      <c r="F14" s="3" t="s">
        <v>16</v>
      </c>
      <c r="G14" s="0" t="n">
        <v>9</v>
      </c>
      <c r="H14" s="4" t="n">
        <v>85.43</v>
      </c>
      <c r="I14" s="4" t="n">
        <f aca="false">G14*H14*(1-L14/100)</f>
        <v>691.983</v>
      </c>
      <c r="J14" s="4" t="n">
        <f aca="false">G14*H14*0.6</f>
        <v>461.322</v>
      </c>
      <c r="K14" s="4" t="n">
        <f aca="false">I14-J14</f>
        <v>230.661</v>
      </c>
      <c r="L14" s="5" t="n">
        <v>10</v>
      </c>
    </row>
    <row r="15" customFormat="false" ht="15" hidden="false" customHeight="false" outlineLevel="0" collapsed="false">
      <c r="A15" s="0" t="s">
        <v>42</v>
      </c>
      <c r="B15" s="2" t="n">
        <v>45627</v>
      </c>
      <c r="C15" s="3" t="s">
        <v>20</v>
      </c>
      <c r="D15" s="3" t="s">
        <v>43</v>
      </c>
      <c r="E15" s="3" t="s">
        <v>22</v>
      </c>
      <c r="F15" s="3" t="s">
        <v>16</v>
      </c>
      <c r="G15" s="0" t="n">
        <v>13</v>
      </c>
      <c r="H15" s="4" t="n">
        <v>496.96</v>
      </c>
      <c r="I15" s="4" t="n">
        <f aca="false">G15*H15*(1-L15/100)</f>
        <v>5491.408</v>
      </c>
      <c r="J15" s="4" t="n">
        <f aca="false">G15*H15*0.6</f>
        <v>3876.288</v>
      </c>
      <c r="K15" s="4" t="n">
        <f aca="false">I15-J15</f>
        <v>1615.12</v>
      </c>
      <c r="L15" s="5" t="n">
        <v>15</v>
      </c>
    </row>
    <row r="16" customFormat="false" ht="15" hidden="false" customHeight="false" outlineLevel="0" collapsed="false">
      <c r="A16" s="0" t="s">
        <v>44</v>
      </c>
      <c r="B16" s="2" t="n">
        <v>45427</v>
      </c>
      <c r="C16" s="3" t="s">
        <v>30</v>
      </c>
      <c r="D16" s="3" t="s">
        <v>27</v>
      </c>
      <c r="E16" s="3" t="s">
        <v>15</v>
      </c>
      <c r="F16" s="3" t="s">
        <v>45</v>
      </c>
      <c r="G16" s="0" t="n">
        <v>8</v>
      </c>
      <c r="H16" s="4" t="n">
        <v>69.01</v>
      </c>
      <c r="I16" s="4" t="n">
        <f aca="false">G16*H16*(1-L16/100)</f>
        <v>496.872</v>
      </c>
      <c r="J16" s="4" t="n">
        <f aca="false">G16*H16*0.6</f>
        <v>331.248</v>
      </c>
      <c r="K16" s="4" t="n">
        <f aca="false">I16-J16</f>
        <v>165.624</v>
      </c>
      <c r="L16" s="5" t="n">
        <v>10</v>
      </c>
    </row>
    <row r="17" customFormat="false" ht="15" hidden="false" customHeight="false" outlineLevel="0" collapsed="false">
      <c r="A17" s="0" t="s">
        <v>46</v>
      </c>
      <c r="B17" s="2" t="n">
        <v>45591</v>
      </c>
      <c r="C17" s="3" t="s">
        <v>13</v>
      </c>
      <c r="D17" s="3" t="s">
        <v>35</v>
      </c>
      <c r="E17" s="3" t="s">
        <v>15</v>
      </c>
      <c r="F17" s="3" t="s">
        <v>32</v>
      </c>
      <c r="G17" s="0" t="n">
        <v>19</v>
      </c>
      <c r="H17" s="4" t="n">
        <v>89.88</v>
      </c>
      <c r="I17" s="4" t="n">
        <f aca="false">G17*H17*(1-L17/100)</f>
        <v>1707.72</v>
      </c>
      <c r="J17" s="4" t="n">
        <f aca="false">G17*H17*0.6</f>
        <v>1024.632</v>
      </c>
      <c r="K17" s="4" t="n">
        <f aca="false">I17-J17</f>
        <v>683.088</v>
      </c>
      <c r="L17" s="5" t="n">
        <v>0</v>
      </c>
    </row>
    <row r="18" customFormat="false" ht="15" hidden="false" customHeight="false" outlineLevel="0" collapsed="false">
      <c r="A18" s="0" t="s">
        <v>47</v>
      </c>
      <c r="B18" s="2" t="n">
        <v>45544</v>
      </c>
      <c r="C18" s="3" t="s">
        <v>13</v>
      </c>
      <c r="D18" s="3" t="s">
        <v>14</v>
      </c>
      <c r="E18" s="3" t="s">
        <v>15</v>
      </c>
      <c r="F18" s="3" t="s">
        <v>45</v>
      </c>
      <c r="G18" s="0" t="n">
        <v>2</v>
      </c>
      <c r="H18" s="4" t="n">
        <v>26.98</v>
      </c>
      <c r="I18" s="4" t="n">
        <f aca="false">G18*H18*(1-L18/100)</f>
        <v>53.96</v>
      </c>
      <c r="J18" s="4" t="n">
        <f aca="false">G18*H18*0.6</f>
        <v>32.376</v>
      </c>
      <c r="K18" s="4" t="n">
        <f aca="false">I18-J18</f>
        <v>21.584</v>
      </c>
      <c r="L18" s="5" t="n">
        <v>0</v>
      </c>
    </row>
    <row r="19" customFormat="false" ht="15" hidden="false" customHeight="false" outlineLevel="0" collapsed="false">
      <c r="A19" s="0" t="s">
        <v>48</v>
      </c>
      <c r="B19" s="2" t="n">
        <v>45508</v>
      </c>
      <c r="C19" s="3" t="s">
        <v>30</v>
      </c>
      <c r="D19" s="3" t="s">
        <v>14</v>
      </c>
      <c r="E19" s="3" t="s">
        <v>15</v>
      </c>
      <c r="F19" s="3" t="s">
        <v>32</v>
      </c>
      <c r="G19" s="0" t="n">
        <v>13</v>
      </c>
      <c r="H19" s="4" t="n">
        <v>25.18</v>
      </c>
      <c r="I19" s="4" t="n">
        <f aca="false">G19*H19*(1-L19/100)</f>
        <v>310.973</v>
      </c>
      <c r="J19" s="4" t="n">
        <f aca="false">G19*H19*0.6</f>
        <v>196.404</v>
      </c>
      <c r="K19" s="4" t="n">
        <f aca="false">I19-J19</f>
        <v>114.569</v>
      </c>
      <c r="L19" s="5" t="n">
        <v>5</v>
      </c>
    </row>
    <row r="20" customFormat="false" ht="15" hidden="false" customHeight="false" outlineLevel="0" collapsed="false">
      <c r="A20" s="0" t="s">
        <v>49</v>
      </c>
      <c r="B20" s="2" t="n">
        <v>45297</v>
      </c>
      <c r="C20" s="3" t="s">
        <v>30</v>
      </c>
      <c r="D20" s="3" t="s">
        <v>14</v>
      </c>
      <c r="E20" s="3" t="s">
        <v>15</v>
      </c>
      <c r="F20" s="3" t="s">
        <v>28</v>
      </c>
      <c r="G20" s="0" t="n">
        <v>18</v>
      </c>
      <c r="H20" s="4" t="n">
        <v>26.57</v>
      </c>
      <c r="I20" s="4" t="n">
        <f aca="false">G20*H20*(1-L20/100)</f>
        <v>406.521</v>
      </c>
      <c r="J20" s="4" t="n">
        <f aca="false">G20*H20*0.6</f>
        <v>286.956</v>
      </c>
      <c r="K20" s="4" t="n">
        <f aca="false">I20-J20</f>
        <v>119.565</v>
      </c>
      <c r="L20" s="5" t="n">
        <v>15</v>
      </c>
    </row>
    <row r="21" customFormat="false" ht="15" hidden="false" customHeight="false" outlineLevel="0" collapsed="false">
      <c r="A21" s="0" t="s">
        <v>50</v>
      </c>
      <c r="B21" s="2" t="n">
        <v>45442</v>
      </c>
      <c r="C21" s="3" t="s">
        <v>30</v>
      </c>
      <c r="D21" s="3" t="s">
        <v>35</v>
      </c>
      <c r="E21" s="3" t="s">
        <v>15</v>
      </c>
      <c r="F21" s="3" t="s">
        <v>32</v>
      </c>
      <c r="G21" s="0" t="n">
        <v>6</v>
      </c>
      <c r="H21" s="4" t="n">
        <v>90.61</v>
      </c>
      <c r="I21" s="4" t="n">
        <f aca="false">G21*H21*(1-L21/100)</f>
        <v>462.111</v>
      </c>
      <c r="J21" s="4" t="n">
        <f aca="false">G21*H21*0.6</f>
        <v>326.196</v>
      </c>
      <c r="K21" s="4" t="n">
        <f aca="false">I21-J21</f>
        <v>135.915</v>
      </c>
      <c r="L21" s="5" t="n">
        <v>15</v>
      </c>
    </row>
    <row r="22" customFormat="false" ht="15" hidden="false" customHeight="false" outlineLevel="0" collapsed="false">
      <c r="A22" s="0" t="s">
        <v>51</v>
      </c>
      <c r="B22" s="2" t="n">
        <v>45383</v>
      </c>
      <c r="C22" s="3" t="s">
        <v>13</v>
      </c>
      <c r="D22" s="3" t="s">
        <v>14</v>
      </c>
      <c r="E22" s="3" t="s">
        <v>15</v>
      </c>
      <c r="F22" s="3" t="s">
        <v>16</v>
      </c>
      <c r="G22" s="0" t="n">
        <v>10</v>
      </c>
      <c r="H22" s="4" t="n">
        <v>26.91</v>
      </c>
      <c r="I22" s="4" t="n">
        <f aca="false">G22*H22*(1-L22/100)</f>
        <v>242.19</v>
      </c>
      <c r="J22" s="4" t="n">
        <f aca="false">G22*H22*0.6</f>
        <v>161.46</v>
      </c>
      <c r="K22" s="4" t="n">
        <f aca="false">I22-J22</f>
        <v>80.73</v>
      </c>
      <c r="L22" s="5" t="n">
        <v>10</v>
      </c>
    </row>
    <row r="23" customFormat="false" ht="15" hidden="false" customHeight="false" outlineLevel="0" collapsed="false">
      <c r="A23" s="0" t="s">
        <v>52</v>
      </c>
      <c r="B23" s="2" t="n">
        <v>45483</v>
      </c>
      <c r="C23" s="3" t="s">
        <v>18</v>
      </c>
      <c r="D23" s="3" t="s">
        <v>27</v>
      </c>
      <c r="E23" s="3" t="s">
        <v>15</v>
      </c>
      <c r="F23" s="3" t="s">
        <v>32</v>
      </c>
      <c r="G23" s="0" t="n">
        <v>18</v>
      </c>
      <c r="H23" s="4" t="n">
        <v>71.05</v>
      </c>
      <c r="I23" s="4" t="n">
        <f aca="false">G23*H23*(1-L23/100)</f>
        <v>1151.01</v>
      </c>
      <c r="J23" s="4" t="n">
        <f aca="false">G23*H23*0.6</f>
        <v>767.34</v>
      </c>
      <c r="K23" s="4" t="n">
        <f aca="false">I23-J23</f>
        <v>383.67</v>
      </c>
      <c r="L23" s="5" t="n">
        <v>10</v>
      </c>
    </row>
    <row r="24" customFormat="false" ht="15" hidden="false" customHeight="false" outlineLevel="0" collapsed="false">
      <c r="A24" s="0" t="s">
        <v>53</v>
      </c>
      <c r="B24" s="2" t="n">
        <v>45457</v>
      </c>
      <c r="C24" s="3" t="s">
        <v>30</v>
      </c>
      <c r="D24" s="3" t="s">
        <v>43</v>
      </c>
      <c r="E24" s="3" t="s">
        <v>22</v>
      </c>
      <c r="F24" s="3" t="s">
        <v>16</v>
      </c>
      <c r="G24" s="0" t="n">
        <v>1</v>
      </c>
      <c r="H24" s="4" t="n">
        <v>443.75</v>
      </c>
      <c r="I24" s="4" t="n">
        <f aca="false">G24*H24*(1-L24/100)</f>
        <v>443.75</v>
      </c>
      <c r="J24" s="4" t="n">
        <f aca="false">G24*H24*0.6</f>
        <v>266.25</v>
      </c>
      <c r="K24" s="4" t="n">
        <f aca="false">I24-J24</f>
        <v>177.5</v>
      </c>
      <c r="L24" s="5" t="n">
        <v>0</v>
      </c>
    </row>
    <row r="25" customFormat="false" ht="15" hidden="false" customHeight="false" outlineLevel="0" collapsed="false">
      <c r="A25" s="0" t="s">
        <v>54</v>
      </c>
      <c r="B25" s="2" t="n">
        <v>45321</v>
      </c>
      <c r="C25" s="3" t="s">
        <v>20</v>
      </c>
      <c r="D25" s="3" t="s">
        <v>37</v>
      </c>
      <c r="E25" s="3" t="s">
        <v>22</v>
      </c>
      <c r="F25" s="3" t="s">
        <v>28</v>
      </c>
      <c r="G25" s="0" t="n">
        <v>19</v>
      </c>
      <c r="H25" s="4" t="n">
        <v>271.92</v>
      </c>
      <c r="I25" s="4" t="n">
        <f aca="false">G25*H25*(1-L25/100)</f>
        <v>5166.48</v>
      </c>
      <c r="J25" s="4" t="n">
        <f aca="false">G25*H25*0.6</f>
        <v>3099.888</v>
      </c>
      <c r="K25" s="4" t="n">
        <f aca="false">I25-J25</f>
        <v>2066.592</v>
      </c>
      <c r="L25" s="5" t="n">
        <v>0</v>
      </c>
    </row>
    <row r="26" customFormat="false" ht="15" hidden="false" customHeight="false" outlineLevel="0" collapsed="false">
      <c r="A26" s="0" t="s">
        <v>55</v>
      </c>
      <c r="B26" s="2" t="n">
        <v>45564</v>
      </c>
      <c r="C26" s="3" t="s">
        <v>13</v>
      </c>
      <c r="D26" s="3" t="s">
        <v>27</v>
      </c>
      <c r="E26" s="3" t="s">
        <v>15</v>
      </c>
      <c r="F26" s="3" t="s">
        <v>25</v>
      </c>
      <c r="G26" s="0" t="n">
        <v>5</v>
      </c>
      <c r="H26" s="4" t="n">
        <v>68.18</v>
      </c>
      <c r="I26" s="4" t="n">
        <f aca="false">G26*H26*(1-L26/100)</f>
        <v>306.81</v>
      </c>
      <c r="J26" s="4" t="n">
        <f aca="false">G26*H26*0.6</f>
        <v>204.54</v>
      </c>
      <c r="K26" s="4" t="n">
        <f aca="false">I26-J26</f>
        <v>102.27</v>
      </c>
      <c r="L26" s="5" t="n">
        <v>10</v>
      </c>
    </row>
    <row r="27" customFormat="false" ht="15" hidden="false" customHeight="false" outlineLevel="0" collapsed="false">
      <c r="A27" s="0" t="s">
        <v>56</v>
      </c>
      <c r="B27" s="2" t="n">
        <v>45562</v>
      </c>
      <c r="C27" s="3" t="s">
        <v>13</v>
      </c>
      <c r="D27" s="3" t="s">
        <v>35</v>
      </c>
      <c r="E27" s="3" t="s">
        <v>15</v>
      </c>
      <c r="F27" s="3" t="s">
        <v>45</v>
      </c>
      <c r="G27" s="0" t="n">
        <v>7</v>
      </c>
      <c r="H27" s="4" t="n">
        <v>96.95</v>
      </c>
      <c r="I27" s="4" t="n">
        <f aca="false">G27*H27*(1-L27/100)</f>
        <v>576.8525</v>
      </c>
      <c r="J27" s="4" t="n">
        <f aca="false">G27*H27*0.6</f>
        <v>407.19</v>
      </c>
      <c r="K27" s="4" t="n">
        <f aca="false">I27-J27</f>
        <v>169.6625</v>
      </c>
      <c r="L27" s="5" t="n">
        <v>15</v>
      </c>
    </row>
    <row r="28" customFormat="false" ht="15" hidden="false" customHeight="false" outlineLevel="0" collapsed="false">
      <c r="A28" s="0" t="s">
        <v>57</v>
      </c>
      <c r="B28" s="2" t="n">
        <v>45451</v>
      </c>
      <c r="C28" s="3" t="s">
        <v>20</v>
      </c>
      <c r="D28" s="3" t="s">
        <v>35</v>
      </c>
      <c r="E28" s="3" t="s">
        <v>15</v>
      </c>
      <c r="F28" s="3" t="s">
        <v>28</v>
      </c>
      <c r="G28" s="0" t="n">
        <v>12</v>
      </c>
      <c r="H28" s="4" t="n">
        <v>90.4</v>
      </c>
      <c r="I28" s="4" t="n">
        <f aca="false">G28*H28*(1-L28/100)</f>
        <v>976.32</v>
      </c>
      <c r="J28" s="4" t="n">
        <f aca="false">G28*H28*0.6</f>
        <v>650.88</v>
      </c>
      <c r="K28" s="4" t="n">
        <f aca="false">I28-J28</f>
        <v>325.44</v>
      </c>
      <c r="L28" s="5" t="n">
        <v>10</v>
      </c>
    </row>
    <row r="29" customFormat="false" ht="15" hidden="false" customHeight="false" outlineLevel="0" collapsed="false">
      <c r="A29" s="0" t="s">
        <v>58</v>
      </c>
      <c r="B29" s="2" t="n">
        <v>45418</v>
      </c>
      <c r="C29" s="3" t="s">
        <v>13</v>
      </c>
      <c r="D29" s="3" t="s">
        <v>37</v>
      </c>
      <c r="E29" s="3" t="s">
        <v>22</v>
      </c>
      <c r="F29" s="3" t="s">
        <v>32</v>
      </c>
      <c r="G29" s="0" t="n">
        <v>3</v>
      </c>
      <c r="H29" s="4" t="n">
        <v>249.18</v>
      </c>
      <c r="I29" s="4" t="n">
        <f aca="false">G29*H29*(1-L29/100)</f>
        <v>672.786</v>
      </c>
      <c r="J29" s="4" t="n">
        <f aca="false">G29*H29*0.6</f>
        <v>448.524</v>
      </c>
      <c r="K29" s="4" t="n">
        <f aca="false">I29-J29</f>
        <v>224.262</v>
      </c>
      <c r="L29" s="5" t="n">
        <v>10</v>
      </c>
    </row>
    <row r="30" customFormat="false" ht="15" hidden="false" customHeight="false" outlineLevel="0" collapsed="false">
      <c r="A30" s="0" t="s">
        <v>59</v>
      </c>
      <c r="B30" s="2" t="n">
        <v>45404</v>
      </c>
      <c r="C30" s="3" t="s">
        <v>13</v>
      </c>
      <c r="D30" s="3" t="s">
        <v>21</v>
      </c>
      <c r="E30" s="3" t="s">
        <v>22</v>
      </c>
      <c r="F30" s="3" t="s">
        <v>28</v>
      </c>
      <c r="G30" s="0" t="n">
        <v>3</v>
      </c>
      <c r="H30" s="4" t="n">
        <v>949.5</v>
      </c>
      <c r="I30" s="4" t="n">
        <f aca="false">G30*H30*(1-L30/100)</f>
        <v>2848.5</v>
      </c>
      <c r="J30" s="4" t="n">
        <f aca="false">G30*H30*0.6</f>
        <v>1709.1</v>
      </c>
      <c r="K30" s="4" t="n">
        <f aca="false">I30-J30</f>
        <v>1139.4</v>
      </c>
      <c r="L30" s="5" t="n">
        <v>0</v>
      </c>
    </row>
    <row r="31" customFormat="false" ht="15" hidden="false" customHeight="false" outlineLevel="0" collapsed="false">
      <c r="A31" s="0" t="s">
        <v>60</v>
      </c>
      <c r="B31" s="2" t="n">
        <v>45308</v>
      </c>
      <c r="C31" s="3" t="s">
        <v>20</v>
      </c>
      <c r="D31" s="3" t="s">
        <v>61</v>
      </c>
      <c r="E31" s="3" t="s">
        <v>15</v>
      </c>
      <c r="F31" s="3" t="s">
        <v>16</v>
      </c>
      <c r="G31" s="0" t="n">
        <v>3</v>
      </c>
      <c r="H31" s="4" t="n">
        <v>50.33</v>
      </c>
      <c r="I31" s="4" t="n">
        <f aca="false">G31*H31*(1-L31/100)</f>
        <v>150.99</v>
      </c>
      <c r="J31" s="4" t="n">
        <f aca="false">G31*H31*0.6</f>
        <v>90.594</v>
      </c>
      <c r="K31" s="4" t="n">
        <f aca="false">I31-J31</f>
        <v>60.396</v>
      </c>
      <c r="L31" s="5" t="n">
        <v>0</v>
      </c>
    </row>
    <row r="32" customFormat="false" ht="15" hidden="false" customHeight="false" outlineLevel="0" collapsed="false">
      <c r="A32" s="0" t="s">
        <v>62</v>
      </c>
      <c r="B32" s="2" t="n">
        <v>45568</v>
      </c>
      <c r="C32" s="3" t="s">
        <v>20</v>
      </c>
      <c r="D32" s="3" t="s">
        <v>27</v>
      </c>
      <c r="E32" s="3" t="s">
        <v>15</v>
      </c>
      <c r="F32" s="3" t="s">
        <v>39</v>
      </c>
      <c r="G32" s="0" t="n">
        <v>19</v>
      </c>
      <c r="H32" s="4" t="n">
        <v>67.37</v>
      </c>
      <c r="I32" s="4" t="n">
        <f aca="false">G32*H32*(1-L32/100)</f>
        <v>1280.03</v>
      </c>
      <c r="J32" s="4" t="n">
        <f aca="false">G32*H32*0.6</f>
        <v>768.018</v>
      </c>
      <c r="K32" s="4" t="n">
        <f aca="false">I32-J32</f>
        <v>512.012</v>
      </c>
      <c r="L32" s="5" t="n">
        <v>0</v>
      </c>
    </row>
    <row r="33" customFormat="false" ht="15" hidden="false" customHeight="false" outlineLevel="0" collapsed="false">
      <c r="A33" s="0" t="s">
        <v>63</v>
      </c>
      <c r="B33" s="2" t="n">
        <v>45389</v>
      </c>
      <c r="C33" s="3" t="s">
        <v>20</v>
      </c>
      <c r="D33" s="3" t="s">
        <v>14</v>
      </c>
      <c r="E33" s="3" t="s">
        <v>15</v>
      </c>
      <c r="F33" s="3" t="s">
        <v>39</v>
      </c>
      <c r="G33" s="0" t="n">
        <v>4</v>
      </c>
      <c r="H33" s="4" t="n">
        <v>26.22</v>
      </c>
      <c r="I33" s="4" t="n">
        <f aca="false">G33*H33*(1-L33/100)</f>
        <v>104.88</v>
      </c>
      <c r="J33" s="4" t="n">
        <f aca="false">G33*H33*0.6</f>
        <v>62.928</v>
      </c>
      <c r="K33" s="4" t="n">
        <f aca="false">I33-J33</f>
        <v>41.952</v>
      </c>
      <c r="L33" s="5" t="n">
        <v>0</v>
      </c>
    </row>
    <row r="34" customFormat="false" ht="15" hidden="false" customHeight="false" outlineLevel="0" collapsed="false">
      <c r="A34" s="0" t="s">
        <v>64</v>
      </c>
      <c r="B34" s="2" t="n">
        <v>45531</v>
      </c>
      <c r="C34" s="3" t="s">
        <v>30</v>
      </c>
      <c r="D34" s="3" t="s">
        <v>21</v>
      </c>
      <c r="E34" s="3" t="s">
        <v>22</v>
      </c>
      <c r="F34" s="3" t="s">
        <v>28</v>
      </c>
      <c r="G34" s="0" t="n">
        <v>4</v>
      </c>
      <c r="H34" s="4" t="n">
        <v>862.22</v>
      </c>
      <c r="I34" s="4" t="n">
        <f aca="false">G34*H34*(1-L34/100)</f>
        <v>2931.548</v>
      </c>
      <c r="J34" s="4" t="n">
        <f aca="false">G34*H34*0.6</f>
        <v>2069.328</v>
      </c>
      <c r="K34" s="4" t="n">
        <f aca="false">I34-J34</f>
        <v>862.22</v>
      </c>
      <c r="L34" s="5" t="n">
        <v>15</v>
      </c>
    </row>
    <row r="35" customFormat="false" ht="15" hidden="false" customHeight="false" outlineLevel="0" collapsed="false">
      <c r="A35" s="0" t="s">
        <v>65</v>
      </c>
      <c r="B35" s="2" t="n">
        <v>45419</v>
      </c>
      <c r="C35" s="3" t="s">
        <v>20</v>
      </c>
      <c r="D35" s="3" t="s">
        <v>37</v>
      </c>
      <c r="E35" s="3" t="s">
        <v>22</v>
      </c>
      <c r="F35" s="3" t="s">
        <v>16</v>
      </c>
      <c r="G35" s="0" t="n">
        <v>7</v>
      </c>
      <c r="H35" s="4" t="n">
        <v>256.58</v>
      </c>
      <c r="I35" s="4" t="n">
        <f aca="false">G35*H35*(1-L35/100)</f>
        <v>1796.06</v>
      </c>
      <c r="J35" s="4" t="n">
        <f aca="false">G35*H35*0.6</f>
        <v>1077.636</v>
      </c>
      <c r="K35" s="4" t="n">
        <f aca="false">I35-J35</f>
        <v>718.424</v>
      </c>
      <c r="L35" s="5" t="n">
        <v>0</v>
      </c>
    </row>
    <row r="36" customFormat="false" ht="15" hidden="false" customHeight="false" outlineLevel="0" collapsed="false">
      <c r="A36" s="0" t="s">
        <v>66</v>
      </c>
      <c r="B36" s="2" t="n">
        <v>45434</v>
      </c>
      <c r="C36" s="3" t="s">
        <v>20</v>
      </c>
      <c r="D36" s="3" t="s">
        <v>43</v>
      </c>
      <c r="E36" s="3" t="s">
        <v>22</v>
      </c>
      <c r="F36" s="3" t="s">
        <v>32</v>
      </c>
      <c r="G36" s="0" t="n">
        <v>8</v>
      </c>
      <c r="H36" s="4" t="n">
        <v>496.26</v>
      </c>
      <c r="I36" s="4" t="n">
        <f aca="false">G36*H36*(1-L36/100)</f>
        <v>3970.08</v>
      </c>
      <c r="J36" s="4" t="n">
        <f aca="false">G36*H36*0.6</f>
        <v>2382.048</v>
      </c>
      <c r="K36" s="4" t="n">
        <f aca="false">I36-J36</f>
        <v>1588.032</v>
      </c>
      <c r="L36" s="5" t="n">
        <v>0</v>
      </c>
    </row>
    <row r="37" customFormat="false" ht="15" hidden="false" customHeight="false" outlineLevel="0" collapsed="false">
      <c r="A37" s="0" t="s">
        <v>67</v>
      </c>
      <c r="B37" s="2" t="n">
        <v>45342</v>
      </c>
      <c r="C37" s="3" t="s">
        <v>13</v>
      </c>
      <c r="D37" s="3" t="s">
        <v>21</v>
      </c>
      <c r="E37" s="3" t="s">
        <v>22</v>
      </c>
      <c r="F37" s="3" t="s">
        <v>16</v>
      </c>
      <c r="G37" s="0" t="n">
        <v>18</v>
      </c>
      <c r="H37" s="4" t="n">
        <v>966.79</v>
      </c>
      <c r="I37" s="4" t="n">
        <f aca="false">G37*H37*(1-L37/100)</f>
        <v>17402.22</v>
      </c>
      <c r="J37" s="4" t="n">
        <f aca="false">G37*H37*0.6</f>
        <v>10441.332</v>
      </c>
      <c r="K37" s="4" t="n">
        <f aca="false">I37-J37</f>
        <v>6960.888</v>
      </c>
      <c r="L37" s="5" t="n">
        <v>0</v>
      </c>
    </row>
    <row r="38" customFormat="false" ht="15" hidden="false" customHeight="false" outlineLevel="0" collapsed="false">
      <c r="A38" s="0" t="s">
        <v>68</v>
      </c>
      <c r="B38" s="2" t="n">
        <v>45500</v>
      </c>
      <c r="C38" s="3" t="s">
        <v>18</v>
      </c>
      <c r="D38" s="3" t="s">
        <v>43</v>
      </c>
      <c r="E38" s="3" t="s">
        <v>22</v>
      </c>
      <c r="F38" s="3" t="s">
        <v>16</v>
      </c>
      <c r="G38" s="0" t="n">
        <v>16</v>
      </c>
      <c r="H38" s="4" t="n">
        <v>450.77</v>
      </c>
      <c r="I38" s="4" t="n">
        <f aca="false">G38*H38*(1-L38/100)</f>
        <v>6851.704</v>
      </c>
      <c r="J38" s="4" t="n">
        <f aca="false">G38*H38*0.6</f>
        <v>4327.392</v>
      </c>
      <c r="K38" s="4" t="n">
        <f aca="false">I38-J38</f>
        <v>2524.312</v>
      </c>
      <c r="L38" s="5" t="n">
        <v>5</v>
      </c>
    </row>
    <row r="39" customFormat="false" ht="15" hidden="false" customHeight="false" outlineLevel="0" collapsed="false">
      <c r="A39" s="0" t="s">
        <v>69</v>
      </c>
      <c r="B39" s="2" t="n">
        <v>45486</v>
      </c>
      <c r="C39" s="3" t="s">
        <v>30</v>
      </c>
      <c r="D39" s="3" t="s">
        <v>21</v>
      </c>
      <c r="E39" s="3" t="s">
        <v>22</v>
      </c>
      <c r="F39" s="3" t="s">
        <v>39</v>
      </c>
      <c r="G39" s="0" t="n">
        <v>13</v>
      </c>
      <c r="H39" s="4" t="n">
        <v>889.81</v>
      </c>
      <c r="I39" s="4" t="n">
        <f aca="false">G39*H39*(1-L39/100)</f>
        <v>10989.1535</v>
      </c>
      <c r="J39" s="4" t="n">
        <f aca="false">G39*H39*0.6</f>
        <v>6940.518</v>
      </c>
      <c r="K39" s="4" t="n">
        <f aca="false">I39-J39</f>
        <v>4048.6355</v>
      </c>
      <c r="L39" s="5" t="n">
        <v>5</v>
      </c>
    </row>
    <row r="40" customFormat="false" ht="15" hidden="false" customHeight="false" outlineLevel="0" collapsed="false">
      <c r="A40" s="0" t="s">
        <v>70</v>
      </c>
      <c r="B40" s="2" t="n">
        <v>45648</v>
      </c>
      <c r="C40" s="3" t="s">
        <v>18</v>
      </c>
      <c r="D40" s="3" t="s">
        <v>43</v>
      </c>
      <c r="E40" s="3" t="s">
        <v>22</v>
      </c>
      <c r="F40" s="3" t="s">
        <v>32</v>
      </c>
      <c r="G40" s="0" t="n">
        <v>5</v>
      </c>
      <c r="H40" s="4" t="n">
        <v>449.12</v>
      </c>
      <c r="I40" s="4" t="n">
        <f aca="false">G40*H40*(1-L40/100)</f>
        <v>2245.6</v>
      </c>
      <c r="J40" s="4" t="n">
        <f aca="false">G40*H40*0.6</f>
        <v>1347.36</v>
      </c>
      <c r="K40" s="4" t="n">
        <f aca="false">I40-J40</f>
        <v>898.24</v>
      </c>
      <c r="L40" s="5" t="n">
        <v>0</v>
      </c>
    </row>
    <row r="41" customFormat="false" ht="15" hidden="false" customHeight="false" outlineLevel="0" collapsed="false">
      <c r="A41" s="0" t="s">
        <v>71</v>
      </c>
      <c r="B41" s="2" t="n">
        <v>45569</v>
      </c>
      <c r="C41" s="3" t="s">
        <v>20</v>
      </c>
      <c r="D41" s="3" t="s">
        <v>21</v>
      </c>
      <c r="E41" s="3" t="s">
        <v>22</v>
      </c>
      <c r="F41" s="3" t="s">
        <v>32</v>
      </c>
      <c r="G41" s="0" t="n">
        <v>11</v>
      </c>
      <c r="H41" s="4" t="n">
        <v>861.76</v>
      </c>
      <c r="I41" s="4" t="n">
        <f aca="false">G41*H41*(1-L41/100)</f>
        <v>8531.424</v>
      </c>
      <c r="J41" s="4" t="n">
        <f aca="false">G41*H41*0.6</f>
        <v>5687.616</v>
      </c>
      <c r="K41" s="4" t="n">
        <f aca="false">I41-J41</f>
        <v>2843.808</v>
      </c>
      <c r="L41" s="5" t="n">
        <v>10</v>
      </c>
    </row>
    <row r="42" customFormat="false" ht="15" hidden="false" customHeight="false" outlineLevel="0" collapsed="false">
      <c r="A42" s="0" t="s">
        <v>72</v>
      </c>
      <c r="B42" s="2" t="n">
        <v>45563</v>
      </c>
      <c r="C42" s="3" t="s">
        <v>13</v>
      </c>
      <c r="D42" s="3" t="s">
        <v>27</v>
      </c>
      <c r="E42" s="3" t="s">
        <v>15</v>
      </c>
      <c r="F42" s="3" t="s">
        <v>28</v>
      </c>
      <c r="G42" s="0" t="n">
        <v>2</v>
      </c>
      <c r="H42" s="4" t="n">
        <v>71.12</v>
      </c>
      <c r="I42" s="4" t="n">
        <f aca="false">G42*H42*(1-L42/100)</f>
        <v>142.24</v>
      </c>
      <c r="J42" s="4" t="n">
        <f aca="false">G42*H42*0.6</f>
        <v>85.344</v>
      </c>
      <c r="K42" s="4" t="n">
        <f aca="false">I42-J42</f>
        <v>56.896</v>
      </c>
      <c r="L42" s="5" t="n">
        <v>0</v>
      </c>
    </row>
    <row r="43" customFormat="false" ht="15" hidden="false" customHeight="false" outlineLevel="0" collapsed="false">
      <c r="A43" s="0" t="s">
        <v>73</v>
      </c>
      <c r="B43" s="2" t="n">
        <v>45596</v>
      </c>
      <c r="C43" s="3" t="s">
        <v>13</v>
      </c>
      <c r="D43" s="3" t="s">
        <v>14</v>
      </c>
      <c r="E43" s="3" t="s">
        <v>15</v>
      </c>
      <c r="F43" s="3" t="s">
        <v>32</v>
      </c>
      <c r="G43" s="0" t="n">
        <v>8</v>
      </c>
      <c r="H43" s="4" t="n">
        <v>25.26</v>
      </c>
      <c r="I43" s="4" t="n">
        <f aca="false">G43*H43*(1-L43/100)</f>
        <v>181.872</v>
      </c>
      <c r="J43" s="4" t="n">
        <f aca="false">G43*H43*0.6</f>
        <v>121.248</v>
      </c>
      <c r="K43" s="4" t="n">
        <f aca="false">I43-J43</f>
        <v>60.624</v>
      </c>
      <c r="L43" s="5" t="n">
        <v>10</v>
      </c>
    </row>
    <row r="44" customFormat="false" ht="15" hidden="false" customHeight="false" outlineLevel="0" collapsed="false">
      <c r="A44" s="0" t="s">
        <v>74</v>
      </c>
      <c r="B44" s="2" t="n">
        <v>45596</v>
      </c>
      <c r="C44" s="3" t="s">
        <v>30</v>
      </c>
      <c r="D44" s="3" t="s">
        <v>21</v>
      </c>
      <c r="E44" s="3" t="s">
        <v>22</v>
      </c>
      <c r="F44" s="3" t="s">
        <v>25</v>
      </c>
      <c r="G44" s="0" t="n">
        <v>20</v>
      </c>
      <c r="H44" s="4" t="n">
        <v>865.11</v>
      </c>
      <c r="I44" s="4" t="n">
        <f aca="false">G44*H44*(1-L44/100)</f>
        <v>14706.87</v>
      </c>
      <c r="J44" s="4" t="n">
        <f aca="false">G44*H44*0.6</f>
        <v>10381.32</v>
      </c>
      <c r="K44" s="4" t="n">
        <f aca="false">I44-J44</f>
        <v>4325.55</v>
      </c>
      <c r="L44" s="5" t="n">
        <v>15</v>
      </c>
    </row>
    <row r="45" customFormat="false" ht="15" hidden="false" customHeight="false" outlineLevel="0" collapsed="false">
      <c r="A45" s="0" t="s">
        <v>75</v>
      </c>
      <c r="B45" s="2" t="n">
        <v>45396</v>
      </c>
      <c r="C45" s="3" t="s">
        <v>30</v>
      </c>
      <c r="D45" s="3" t="s">
        <v>61</v>
      </c>
      <c r="E45" s="3" t="s">
        <v>15</v>
      </c>
      <c r="F45" s="3" t="s">
        <v>39</v>
      </c>
      <c r="G45" s="0" t="n">
        <v>8</v>
      </c>
      <c r="H45" s="4" t="n">
        <v>48.5</v>
      </c>
      <c r="I45" s="4" t="n">
        <f aca="false">G45*H45*(1-L45/100)</f>
        <v>388</v>
      </c>
      <c r="J45" s="4" t="n">
        <f aca="false">G45*H45*0.6</f>
        <v>232.8</v>
      </c>
      <c r="K45" s="4" t="n">
        <f aca="false">I45-J45</f>
        <v>155.2</v>
      </c>
      <c r="L45" s="5" t="n">
        <v>0</v>
      </c>
    </row>
    <row r="46" customFormat="false" ht="15" hidden="false" customHeight="false" outlineLevel="0" collapsed="false">
      <c r="A46" s="0" t="s">
        <v>76</v>
      </c>
      <c r="B46" s="2" t="n">
        <v>45453</v>
      </c>
      <c r="C46" s="3" t="s">
        <v>18</v>
      </c>
      <c r="D46" s="3" t="s">
        <v>14</v>
      </c>
      <c r="E46" s="3" t="s">
        <v>15</v>
      </c>
      <c r="F46" s="3" t="s">
        <v>28</v>
      </c>
      <c r="G46" s="0" t="n">
        <v>1</v>
      </c>
      <c r="H46" s="4" t="n">
        <v>25.47</v>
      </c>
      <c r="I46" s="4" t="n">
        <f aca="false">G46*H46*(1-L46/100)</f>
        <v>22.923</v>
      </c>
      <c r="J46" s="4" t="n">
        <f aca="false">G46*H46*0.6</f>
        <v>15.282</v>
      </c>
      <c r="K46" s="4" t="n">
        <f aca="false">I46-J46</f>
        <v>7.641</v>
      </c>
      <c r="L46" s="5" t="n">
        <v>10</v>
      </c>
    </row>
    <row r="47" customFormat="false" ht="15" hidden="false" customHeight="false" outlineLevel="0" collapsed="false">
      <c r="A47" s="0" t="s">
        <v>77</v>
      </c>
      <c r="B47" s="2" t="n">
        <v>45567</v>
      </c>
      <c r="C47" s="3" t="s">
        <v>18</v>
      </c>
      <c r="D47" s="3" t="s">
        <v>37</v>
      </c>
      <c r="E47" s="3" t="s">
        <v>22</v>
      </c>
      <c r="F47" s="3" t="s">
        <v>16</v>
      </c>
      <c r="G47" s="0" t="n">
        <v>17</v>
      </c>
      <c r="H47" s="4" t="n">
        <v>246.46</v>
      </c>
      <c r="I47" s="4" t="n">
        <f aca="false">G47*H47*(1-L47/100)</f>
        <v>4189.82</v>
      </c>
      <c r="J47" s="4" t="n">
        <f aca="false">G47*H47*0.6</f>
        <v>2513.892</v>
      </c>
      <c r="K47" s="4" t="n">
        <f aca="false">I47-J47</f>
        <v>1675.928</v>
      </c>
      <c r="L47" s="5" t="n">
        <v>0</v>
      </c>
    </row>
    <row r="48" customFormat="false" ht="15" hidden="false" customHeight="false" outlineLevel="0" collapsed="false">
      <c r="A48" s="0" t="s">
        <v>78</v>
      </c>
      <c r="B48" s="2" t="n">
        <v>45481</v>
      </c>
      <c r="C48" s="3" t="s">
        <v>30</v>
      </c>
      <c r="D48" s="3" t="s">
        <v>24</v>
      </c>
      <c r="E48" s="3" t="s">
        <v>22</v>
      </c>
      <c r="F48" s="3" t="s">
        <v>32</v>
      </c>
      <c r="G48" s="0" t="n">
        <v>6</v>
      </c>
      <c r="H48" s="4" t="n">
        <v>181.82</v>
      </c>
      <c r="I48" s="4" t="n">
        <f aca="false">G48*H48*(1-L48/100)</f>
        <v>981.828</v>
      </c>
      <c r="J48" s="4" t="n">
        <f aca="false">G48*H48*0.6</f>
        <v>654.552</v>
      </c>
      <c r="K48" s="4" t="n">
        <f aca="false">I48-J48</f>
        <v>327.276</v>
      </c>
      <c r="L48" s="5" t="n">
        <v>10</v>
      </c>
    </row>
    <row r="49" customFormat="false" ht="15" hidden="false" customHeight="false" outlineLevel="0" collapsed="false">
      <c r="A49" s="0" t="s">
        <v>79</v>
      </c>
      <c r="B49" s="2" t="n">
        <v>45626</v>
      </c>
      <c r="C49" s="3" t="s">
        <v>18</v>
      </c>
      <c r="D49" s="3" t="s">
        <v>21</v>
      </c>
      <c r="E49" s="3" t="s">
        <v>22</v>
      </c>
      <c r="F49" s="3" t="s">
        <v>16</v>
      </c>
      <c r="G49" s="0" t="n">
        <v>18</v>
      </c>
      <c r="H49" s="4" t="n">
        <v>894.42</v>
      </c>
      <c r="I49" s="4" t="n">
        <f aca="false">G49*H49*(1-L49/100)</f>
        <v>13684.626</v>
      </c>
      <c r="J49" s="4" t="n">
        <f aca="false">G49*H49*0.6</f>
        <v>9659.736</v>
      </c>
      <c r="K49" s="4" t="n">
        <f aca="false">I49-J49</f>
        <v>4024.89</v>
      </c>
      <c r="L49" s="5" t="n">
        <v>15</v>
      </c>
    </row>
    <row r="50" customFormat="false" ht="15" hidden="false" customHeight="false" outlineLevel="0" collapsed="false">
      <c r="A50" s="0" t="s">
        <v>80</v>
      </c>
      <c r="B50" s="2" t="n">
        <v>45427</v>
      </c>
      <c r="C50" s="3" t="s">
        <v>30</v>
      </c>
      <c r="D50" s="3" t="s">
        <v>14</v>
      </c>
      <c r="E50" s="3" t="s">
        <v>15</v>
      </c>
      <c r="F50" s="3" t="s">
        <v>25</v>
      </c>
      <c r="G50" s="0" t="n">
        <v>4</v>
      </c>
      <c r="H50" s="4" t="n">
        <v>26.53</v>
      </c>
      <c r="I50" s="4" t="n">
        <f aca="false">G50*H50*(1-L50/100)</f>
        <v>106.12</v>
      </c>
      <c r="J50" s="4" t="n">
        <f aca="false">G50*H50*0.6</f>
        <v>63.672</v>
      </c>
      <c r="K50" s="4" t="n">
        <f aca="false">I50-J50</f>
        <v>42.448</v>
      </c>
      <c r="L50" s="5" t="n">
        <v>0</v>
      </c>
    </row>
    <row r="51" customFormat="false" ht="15" hidden="false" customHeight="false" outlineLevel="0" collapsed="false">
      <c r="A51" s="0" t="s">
        <v>81</v>
      </c>
      <c r="B51" s="2" t="n">
        <v>45601</v>
      </c>
      <c r="C51" s="3" t="s">
        <v>30</v>
      </c>
      <c r="D51" s="3" t="s">
        <v>37</v>
      </c>
      <c r="E51" s="3" t="s">
        <v>22</v>
      </c>
      <c r="F51" s="3" t="s">
        <v>32</v>
      </c>
      <c r="G51" s="0" t="n">
        <v>11</v>
      </c>
      <c r="H51" s="4" t="n">
        <v>244.15</v>
      </c>
      <c r="I51" s="4" t="n">
        <f aca="false">G51*H51*(1-L51/100)</f>
        <v>2282.8025</v>
      </c>
      <c r="J51" s="4" t="n">
        <f aca="false">G51*H51*0.6</f>
        <v>1611.39</v>
      </c>
      <c r="K51" s="4" t="n">
        <f aca="false">I51-J51</f>
        <v>671.4125</v>
      </c>
      <c r="L51" s="5" t="n">
        <v>15</v>
      </c>
    </row>
    <row r="52" customFormat="false" ht="15" hidden="false" customHeight="false" outlineLevel="0" collapsed="false">
      <c r="A52" s="0" t="s">
        <v>82</v>
      </c>
      <c r="B52" s="2" t="n">
        <v>45542</v>
      </c>
      <c r="C52" s="3" t="s">
        <v>30</v>
      </c>
      <c r="D52" s="3" t="s">
        <v>24</v>
      </c>
      <c r="E52" s="3" t="s">
        <v>22</v>
      </c>
      <c r="F52" s="3" t="s">
        <v>28</v>
      </c>
      <c r="G52" s="0" t="n">
        <v>2</v>
      </c>
      <c r="H52" s="4" t="n">
        <v>172.53</v>
      </c>
      <c r="I52" s="4" t="n">
        <f aca="false">G52*H52*(1-L52/100)</f>
        <v>327.807</v>
      </c>
      <c r="J52" s="4" t="n">
        <f aca="false">G52*H52*0.6</f>
        <v>207.036</v>
      </c>
      <c r="K52" s="4" t="n">
        <f aca="false">I52-J52</f>
        <v>120.771</v>
      </c>
      <c r="L52" s="5" t="n">
        <v>5</v>
      </c>
    </row>
    <row r="53" customFormat="false" ht="15" hidden="false" customHeight="false" outlineLevel="0" collapsed="false">
      <c r="A53" s="0" t="s">
        <v>83</v>
      </c>
      <c r="B53" s="2" t="n">
        <v>45293</v>
      </c>
      <c r="C53" s="3" t="s">
        <v>13</v>
      </c>
      <c r="D53" s="3" t="s">
        <v>61</v>
      </c>
      <c r="E53" s="3" t="s">
        <v>15</v>
      </c>
      <c r="F53" s="3" t="s">
        <v>45</v>
      </c>
      <c r="G53" s="0" t="n">
        <v>5</v>
      </c>
      <c r="H53" s="4" t="n">
        <v>51.23</v>
      </c>
      <c r="I53" s="4" t="n">
        <f aca="false">G53*H53*(1-L53/100)</f>
        <v>256.15</v>
      </c>
      <c r="J53" s="4" t="n">
        <f aca="false">G53*H53*0.6</f>
        <v>153.69</v>
      </c>
      <c r="K53" s="4" t="n">
        <f aca="false">I53-J53</f>
        <v>102.46</v>
      </c>
      <c r="L53" s="5" t="n">
        <v>0</v>
      </c>
    </row>
    <row r="54" customFormat="false" ht="15" hidden="false" customHeight="false" outlineLevel="0" collapsed="false">
      <c r="A54" s="0" t="s">
        <v>84</v>
      </c>
      <c r="B54" s="2" t="n">
        <v>45518</v>
      </c>
      <c r="C54" s="3" t="s">
        <v>13</v>
      </c>
      <c r="D54" s="3" t="s">
        <v>35</v>
      </c>
      <c r="E54" s="3" t="s">
        <v>15</v>
      </c>
      <c r="F54" s="3" t="s">
        <v>32</v>
      </c>
      <c r="G54" s="0" t="n">
        <v>18</v>
      </c>
      <c r="H54" s="4" t="n">
        <v>84.68</v>
      </c>
      <c r="I54" s="4" t="n">
        <f aca="false">G54*H54*(1-L54/100)</f>
        <v>1524.24</v>
      </c>
      <c r="J54" s="4" t="n">
        <f aca="false">G54*H54*0.6</f>
        <v>914.544</v>
      </c>
      <c r="K54" s="4" t="n">
        <f aca="false">I54-J54</f>
        <v>609.696</v>
      </c>
      <c r="L54" s="5" t="n">
        <v>0</v>
      </c>
    </row>
    <row r="55" customFormat="false" ht="15" hidden="false" customHeight="false" outlineLevel="0" collapsed="false">
      <c r="A55" s="0" t="s">
        <v>85</v>
      </c>
      <c r="B55" s="2" t="n">
        <v>45310</v>
      </c>
      <c r="C55" s="3" t="s">
        <v>13</v>
      </c>
      <c r="D55" s="3" t="s">
        <v>61</v>
      </c>
      <c r="E55" s="3" t="s">
        <v>15</v>
      </c>
      <c r="F55" s="3" t="s">
        <v>28</v>
      </c>
      <c r="G55" s="0" t="n">
        <v>19</v>
      </c>
      <c r="H55" s="4" t="n">
        <v>50.61</v>
      </c>
      <c r="I55" s="4" t="n">
        <f aca="false">G55*H55*(1-L55/100)</f>
        <v>913.5105</v>
      </c>
      <c r="J55" s="4" t="n">
        <f aca="false">G55*H55*0.6</f>
        <v>576.954</v>
      </c>
      <c r="K55" s="4" t="n">
        <f aca="false">I55-J55</f>
        <v>336.5565</v>
      </c>
      <c r="L55" s="5" t="n">
        <v>5</v>
      </c>
    </row>
    <row r="56" customFormat="false" ht="15" hidden="false" customHeight="false" outlineLevel="0" collapsed="false">
      <c r="A56" s="0" t="s">
        <v>86</v>
      </c>
      <c r="B56" s="2" t="n">
        <v>45449</v>
      </c>
      <c r="C56" s="3" t="s">
        <v>13</v>
      </c>
      <c r="D56" s="3" t="s">
        <v>61</v>
      </c>
      <c r="E56" s="3" t="s">
        <v>15</v>
      </c>
      <c r="F56" s="3" t="s">
        <v>45</v>
      </c>
      <c r="G56" s="0" t="n">
        <v>2</v>
      </c>
      <c r="H56" s="4" t="n">
        <v>53.16</v>
      </c>
      <c r="I56" s="4" t="n">
        <f aca="false">G56*H56*(1-L56/100)</f>
        <v>106.32</v>
      </c>
      <c r="J56" s="4" t="n">
        <f aca="false">G56*H56*0.6</f>
        <v>63.792</v>
      </c>
      <c r="K56" s="4" t="n">
        <f aca="false">I56-J56</f>
        <v>42.528</v>
      </c>
      <c r="L56" s="5" t="n">
        <v>0</v>
      </c>
    </row>
    <row r="57" customFormat="false" ht="15" hidden="false" customHeight="false" outlineLevel="0" collapsed="false">
      <c r="A57" s="0" t="s">
        <v>87</v>
      </c>
      <c r="B57" s="2" t="n">
        <v>45344</v>
      </c>
      <c r="C57" s="3" t="s">
        <v>13</v>
      </c>
      <c r="D57" s="3" t="s">
        <v>61</v>
      </c>
      <c r="E57" s="3" t="s">
        <v>15</v>
      </c>
      <c r="F57" s="3" t="s">
        <v>16</v>
      </c>
      <c r="G57" s="0" t="n">
        <v>18</v>
      </c>
      <c r="H57" s="4" t="n">
        <v>53.05</v>
      </c>
      <c r="I57" s="4" t="n">
        <f aca="false">G57*H57*(1-L57/100)</f>
        <v>907.155</v>
      </c>
      <c r="J57" s="4" t="n">
        <f aca="false">G57*H57*0.6</f>
        <v>572.94</v>
      </c>
      <c r="K57" s="4" t="n">
        <f aca="false">I57-J57</f>
        <v>334.215</v>
      </c>
      <c r="L57" s="5" t="n">
        <v>5</v>
      </c>
    </row>
    <row r="58" customFormat="false" ht="15" hidden="false" customHeight="false" outlineLevel="0" collapsed="false">
      <c r="A58" s="0" t="s">
        <v>88</v>
      </c>
      <c r="B58" s="2" t="n">
        <v>45375</v>
      </c>
      <c r="C58" s="3" t="s">
        <v>30</v>
      </c>
      <c r="D58" s="3" t="s">
        <v>27</v>
      </c>
      <c r="E58" s="3" t="s">
        <v>15</v>
      </c>
      <c r="F58" s="3" t="s">
        <v>39</v>
      </c>
      <c r="G58" s="0" t="n">
        <v>14</v>
      </c>
      <c r="H58" s="4" t="n">
        <v>61.99</v>
      </c>
      <c r="I58" s="4" t="n">
        <f aca="false">G58*H58*(1-L58/100)</f>
        <v>737.681</v>
      </c>
      <c r="J58" s="4" t="n">
        <f aca="false">G58*H58*0.6</f>
        <v>520.716</v>
      </c>
      <c r="K58" s="4" t="n">
        <f aca="false">I58-J58</f>
        <v>216.965</v>
      </c>
      <c r="L58" s="5" t="n">
        <v>15</v>
      </c>
    </row>
    <row r="59" customFormat="false" ht="15" hidden="false" customHeight="false" outlineLevel="0" collapsed="false">
      <c r="A59" s="0" t="s">
        <v>89</v>
      </c>
      <c r="B59" s="2" t="n">
        <v>45634</v>
      </c>
      <c r="C59" s="3" t="s">
        <v>18</v>
      </c>
      <c r="D59" s="3" t="s">
        <v>37</v>
      </c>
      <c r="E59" s="3" t="s">
        <v>22</v>
      </c>
      <c r="F59" s="3" t="s">
        <v>39</v>
      </c>
      <c r="G59" s="0" t="n">
        <v>9</v>
      </c>
      <c r="H59" s="4" t="n">
        <v>242.5</v>
      </c>
      <c r="I59" s="4" t="n">
        <f aca="false">G59*H59*(1-L59/100)</f>
        <v>1855.125</v>
      </c>
      <c r="J59" s="4" t="n">
        <f aca="false">G59*H59*0.6</f>
        <v>1309.5</v>
      </c>
      <c r="K59" s="4" t="n">
        <f aca="false">I59-J59</f>
        <v>545.625</v>
      </c>
      <c r="L59" s="5" t="n">
        <v>15</v>
      </c>
    </row>
    <row r="60" customFormat="false" ht="15" hidden="false" customHeight="false" outlineLevel="0" collapsed="false">
      <c r="A60" s="0" t="s">
        <v>90</v>
      </c>
      <c r="B60" s="2" t="n">
        <v>45311</v>
      </c>
      <c r="C60" s="3" t="s">
        <v>30</v>
      </c>
      <c r="D60" s="3" t="s">
        <v>43</v>
      </c>
      <c r="E60" s="3" t="s">
        <v>22</v>
      </c>
      <c r="F60" s="3" t="s">
        <v>25</v>
      </c>
      <c r="G60" s="0" t="n">
        <v>8</v>
      </c>
      <c r="H60" s="4" t="n">
        <v>449.79</v>
      </c>
      <c r="I60" s="4" t="n">
        <f aca="false">G60*H60*(1-L60/100)</f>
        <v>3418.404</v>
      </c>
      <c r="J60" s="4" t="n">
        <f aca="false">G60*H60*0.6</f>
        <v>2158.992</v>
      </c>
      <c r="K60" s="4" t="n">
        <f aca="false">I60-J60</f>
        <v>1259.412</v>
      </c>
      <c r="L60" s="5" t="n">
        <v>5</v>
      </c>
    </row>
    <row r="61" customFormat="false" ht="15" hidden="false" customHeight="false" outlineLevel="0" collapsed="false">
      <c r="A61" s="0" t="s">
        <v>91</v>
      </c>
      <c r="B61" s="2" t="n">
        <v>45408</v>
      </c>
      <c r="C61" s="3" t="s">
        <v>30</v>
      </c>
      <c r="D61" s="3" t="s">
        <v>37</v>
      </c>
      <c r="E61" s="3" t="s">
        <v>22</v>
      </c>
      <c r="F61" s="3" t="s">
        <v>25</v>
      </c>
      <c r="G61" s="0" t="n">
        <v>1</v>
      </c>
      <c r="H61" s="4" t="n">
        <v>261.2</v>
      </c>
      <c r="I61" s="4" t="n">
        <f aca="false">G61*H61*(1-L61/100)</f>
        <v>248.14</v>
      </c>
      <c r="J61" s="4" t="n">
        <f aca="false">G61*H61*0.6</f>
        <v>156.72</v>
      </c>
      <c r="K61" s="4" t="n">
        <f aca="false">I61-J61</f>
        <v>91.42</v>
      </c>
      <c r="L61" s="5" t="n">
        <v>5</v>
      </c>
    </row>
    <row r="63" customFormat="false" ht="15" hidden="false" customHeight="false" outlineLevel="0" collapsed="false">
      <c r="F63" s="6" t="s">
        <v>92</v>
      </c>
      <c r="G63" s="6" t="n">
        <f aca="false">SUM(G2:G62)</f>
        <v>585</v>
      </c>
      <c r="I63" s="7" t="n">
        <f aca="false">SUM(I2:I62)</f>
        <v>147583.786</v>
      </c>
      <c r="J63" s="7" t="n">
        <f aca="false">SUM(J2:J62)</f>
        <v>96484.032</v>
      </c>
      <c r="K63" s="7" t="n">
        <f aca="false">SUM(K2:K62)</f>
        <v>51099.754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55"/>
    <col collapsed="false" customWidth="true" hidden="false" outlineLevel="0" max="3" min="3" style="0" width="28"/>
  </cols>
  <sheetData>
    <row r="1" customFormat="false" ht="15" hidden="false" customHeight="false" outlineLevel="0" collapsed="false">
      <c r="A1" s="8" t="s">
        <v>93</v>
      </c>
      <c r="B1" s="8" t="s">
        <v>94</v>
      </c>
      <c r="C1" s="8" t="s">
        <v>95</v>
      </c>
    </row>
    <row r="2" customFormat="false" ht="15" hidden="false" customHeight="false" outlineLevel="0" collapsed="false">
      <c r="A2" s="0" t="n">
        <v>1</v>
      </c>
      <c r="B2" s="0" t="s">
        <v>96</v>
      </c>
      <c r="C2" s="0" t="s">
        <v>97</v>
      </c>
    </row>
    <row r="3" customFormat="false" ht="15" hidden="false" customHeight="false" outlineLevel="0" collapsed="false">
      <c r="A3" s="0" t="n">
        <v>2</v>
      </c>
      <c r="B3" s="0" t="s">
        <v>98</v>
      </c>
      <c r="C3" s="0" t="s">
        <v>99</v>
      </c>
    </row>
    <row r="4" customFormat="false" ht="15" hidden="false" customHeight="false" outlineLevel="0" collapsed="false">
      <c r="A4" s="0" t="n">
        <v>3</v>
      </c>
      <c r="B4" s="0" t="s">
        <v>100</v>
      </c>
      <c r="C4" s="0" t="s">
        <v>101</v>
      </c>
    </row>
    <row r="5" customFormat="false" ht="15" hidden="false" customHeight="false" outlineLevel="0" collapsed="false">
      <c r="A5" s="0" t="n">
        <v>4</v>
      </c>
      <c r="B5" s="0" t="s">
        <v>102</v>
      </c>
      <c r="C5" s="0" t="s">
        <v>103</v>
      </c>
    </row>
    <row r="6" customFormat="false" ht="15" hidden="false" customHeight="false" outlineLevel="0" collapsed="false">
      <c r="A6" s="0" t="n">
        <v>5</v>
      </c>
      <c r="B6" s="0" t="s">
        <v>104</v>
      </c>
      <c r="C6" s="0" t="s">
        <v>105</v>
      </c>
    </row>
    <row r="7" customFormat="false" ht="15" hidden="false" customHeight="false" outlineLevel="0" collapsed="false">
      <c r="A7" s="0" t="n">
        <v>6</v>
      </c>
      <c r="B7" s="0" t="s">
        <v>106</v>
      </c>
      <c r="C7" s="0" t="s">
        <v>107</v>
      </c>
    </row>
    <row r="8" customFormat="false" ht="15" hidden="false" customHeight="false" outlineLevel="0" collapsed="false">
      <c r="A8" s="0" t="n">
        <v>7</v>
      </c>
      <c r="B8" s="0" t="s">
        <v>108</v>
      </c>
      <c r="C8" s="0" t="s">
        <v>109</v>
      </c>
    </row>
    <row r="9" customFormat="false" ht="15" hidden="false" customHeight="false" outlineLevel="0" collapsed="false">
      <c r="A9" s="0" t="n">
        <v>8</v>
      </c>
      <c r="B9" s="0" t="s">
        <v>110</v>
      </c>
      <c r="C9" s="0" t="s">
        <v>111</v>
      </c>
    </row>
    <row r="10" customFormat="false" ht="15" hidden="false" customHeight="false" outlineLevel="0" collapsed="false">
      <c r="A10" s="0" t="n">
        <v>9</v>
      </c>
      <c r="B10" s="0" t="s">
        <v>112</v>
      </c>
      <c r="C10" s="0" t="s">
        <v>113</v>
      </c>
    </row>
    <row r="11" customFormat="false" ht="15" hidden="false" customHeight="false" outlineLevel="0" collapsed="false">
      <c r="A11" s="0" t="n">
        <v>10</v>
      </c>
      <c r="B11" s="0" t="s">
        <v>114</v>
      </c>
      <c r="C11" s="0" t="s">
        <v>115</v>
      </c>
    </row>
    <row r="12" customFormat="false" ht="15" hidden="false" customHeight="false" outlineLevel="0" collapsed="false">
      <c r="A12" s="0" t="n">
        <v>11</v>
      </c>
      <c r="B12" s="0" t="s">
        <v>116</v>
      </c>
      <c r="C12" s="0" t="s">
        <v>117</v>
      </c>
    </row>
    <row r="13" customFormat="false" ht="15" hidden="false" customHeight="false" outlineLevel="0" collapsed="false">
      <c r="A13" s="0" t="n">
        <v>12</v>
      </c>
      <c r="B13" s="0" t="s">
        <v>118</v>
      </c>
      <c r="C13" s="0" t="s">
        <v>119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2026-07-01T19:16:12Z</dcterms:created>
  <dc:creator>openpyxl</dc:creator>
  <dc:description/>
  <dc:language>en-US</dc:language>
  <cp:lastModifiedBy/>
  <dcterms:modified xsi:type="dcterms:W3CDTF">2026-07-01T19:16:12Z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